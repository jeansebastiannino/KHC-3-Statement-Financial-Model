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jeans\Downloads\"/>
    </mc:Choice>
  </mc:AlternateContent>
  <xr:revisionPtr revIDLastSave="0" documentId="13_ncr:1_{B0CBC1A9-08E8-4F99-8220-EF77E7EA397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chedules" sheetId="1" r:id="rId1"/>
    <sheet name="Income Statement" sheetId="2" r:id="rId2"/>
    <sheet name="Balance Sheet" sheetId="3" r:id="rId3"/>
    <sheet name="Cash Flow Statement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8" roundtripDataChecksum="1O++H3K8dR64ULQXYQ7h9htNkeG3CfCyD96UF72kkdw="/>
    </ext>
  </extLst>
</workbook>
</file>

<file path=xl/calcChain.xml><?xml version="1.0" encoding="utf-8"?>
<calcChain xmlns="http://schemas.openxmlformats.org/spreadsheetml/2006/main">
  <c r="C152" i="1" l="1"/>
  <c r="D152" i="1"/>
  <c r="E152" i="1" s="1"/>
  <c r="F152" i="1" s="1"/>
  <c r="G152" i="1" s="1"/>
  <c r="H152" i="1" s="1"/>
  <c r="I152" i="1" s="1"/>
  <c r="C49" i="3"/>
  <c r="D49" i="3"/>
  <c r="B37" i="4"/>
  <c r="C36" i="4"/>
  <c r="C37" i="4" s="1"/>
  <c r="D36" i="4" s="1"/>
  <c r="D37" i="4" s="1"/>
  <c r="E36" i="4" s="1"/>
  <c r="F34" i="4"/>
  <c r="G34" i="4" s="1"/>
  <c r="H34" i="4" s="1"/>
  <c r="I34" i="4" s="1"/>
  <c r="E31" i="4"/>
  <c r="D31" i="4"/>
  <c r="D32" i="4" s="1"/>
  <c r="C31" i="4"/>
  <c r="C32" i="4" s="1"/>
  <c r="B31" i="4"/>
  <c r="B32" i="4" s="1"/>
  <c r="F29" i="4"/>
  <c r="G29" i="4" s="1"/>
  <c r="H29" i="4" s="1"/>
  <c r="I29" i="4" s="1"/>
  <c r="F28" i="4"/>
  <c r="G28" i="4" s="1"/>
  <c r="H28" i="4" s="1"/>
  <c r="I28" i="4" s="1"/>
  <c r="F27" i="4"/>
  <c r="E27" i="4"/>
  <c r="F26" i="4"/>
  <c r="E26" i="4"/>
  <c r="E22" i="4"/>
  <c r="D22" i="4"/>
  <c r="D23" i="4" s="1"/>
  <c r="C22" i="4"/>
  <c r="C23" i="4" s="1"/>
  <c r="B22" i="4"/>
  <c r="B23" i="4" s="1"/>
  <c r="D17" i="4"/>
  <c r="C17" i="4"/>
  <c r="B17" i="4"/>
  <c r="E10" i="4"/>
  <c r="D10" i="4"/>
  <c r="C10" i="4"/>
  <c r="B10" i="4"/>
  <c r="E44" i="3"/>
  <c r="F44" i="3" s="1"/>
  <c r="G44" i="3" s="1"/>
  <c r="H44" i="3" s="1"/>
  <c r="I44" i="3" s="1"/>
  <c r="D43" i="3"/>
  <c r="D45" i="3" s="1"/>
  <c r="C43" i="3"/>
  <c r="C45" i="3" s="1"/>
  <c r="E42" i="3"/>
  <c r="F42" i="3" s="1"/>
  <c r="G42" i="3" s="1"/>
  <c r="H42" i="3" s="1"/>
  <c r="I42" i="3" s="1"/>
  <c r="E41" i="3"/>
  <c r="F41" i="3" s="1"/>
  <c r="G41" i="3" s="1"/>
  <c r="H41" i="3" s="1"/>
  <c r="I41" i="3" s="1"/>
  <c r="E39" i="3"/>
  <c r="F39" i="3" s="1"/>
  <c r="G39" i="3" s="1"/>
  <c r="H39" i="3" s="1"/>
  <c r="I39" i="3" s="1"/>
  <c r="E38" i="3"/>
  <c r="E35" i="3"/>
  <c r="F35" i="3" s="1"/>
  <c r="G35" i="3" s="1"/>
  <c r="H35" i="3" s="1"/>
  <c r="I35" i="3" s="1"/>
  <c r="E33" i="3"/>
  <c r="F33" i="3" s="1"/>
  <c r="G33" i="3" s="1"/>
  <c r="H33" i="3" s="1"/>
  <c r="I33" i="3" s="1"/>
  <c r="E32" i="3"/>
  <c r="F32" i="3" s="1"/>
  <c r="G32" i="3" s="1"/>
  <c r="H32" i="3" s="1"/>
  <c r="I32" i="3" s="1"/>
  <c r="E31" i="3"/>
  <c r="F31" i="3" s="1"/>
  <c r="G31" i="3" s="1"/>
  <c r="H31" i="3" s="1"/>
  <c r="I31" i="3" s="1"/>
  <c r="E30" i="3"/>
  <c r="F30" i="3" s="1"/>
  <c r="G30" i="3" s="1"/>
  <c r="H30" i="3" s="1"/>
  <c r="I30" i="3" s="1"/>
  <c r="D28" i="3"/>
  <c r="D34" i="3" s="1"/>
  <c r="D47" i="3" s="1"/>
  <c r="C28" i="3"/>
  <c r="C34" i="3" s="1"/>
  <c r="C47" i="3" s="1"/>
  <c r="F27" i="3"/>
  <c r="G27" i="3" s="1"/>
  <c r="H27" i="3" s="1"/>
  <c r="I27" i="3" s="1"/>
  <c r="E26" i="3"/>
  <c r="F26" i="3" s="1"/>
  <c r="G26" i="3" s="1"/>
  <c r="H26" i="3" s="1"/>
  <c r="I26" i="3" s="1"/>
  <c r="E18" i="3"/>
  <c r="F18" i="3" s="1"/>
  <c r="G18" i="3" s="1"/>
  <c r="H18" i="3" s="1"/>
  <c r="I18" i="3" s="1"/>
  <c r="E17" i="3"/>
  <c r="F17" i="3" s="1"/>
  <c r="G17" i="3" s="1"/>
  <c r="H17" i="3" s="1"/>
  <c r="I17" i="3" s="1"/>
  <c r="E16" i="3"/>
  <c r="F16" i="3" s="1"/>
  <c r="G16" i="3" s="1"/>
  <c r="H16" i="3" s="1"/>
  <c r="I16" i="3" s="1"/>
  <c r="D14" i="3"/>
  <c r="D19" i="3" s="1"/>
  <c r="C14" i="3"/>
  <c r="C19" i="3" s="1"/>
  <c r="E13" i="3"/>
  <c r="F13" i="3" s="1"/>
  <c r="G13" i="3" s="1"/>
  <c r="H13" i="3" s="1"/>
  <c r="I13" i="3" s="1"/>
  <c r="E12" i="3"/>
  <c r="F12" i="3" s="1"/>
  <c r="G12" i="3" s="1"/>
  <c r="H12" i="3" s="1"/>
  <c r="I12" i="3" s="1"/>
  <c r="E11" i="3"/>
  <c r="F11" i="3" s="1"/>
  <c r="G11" i="3" s="1"/>
  <c r="H11" i="3" s="1"/>
  <c r="I11" i="3" s="1"/>
  <c r="F19" i="2"/>
  <c r="G19" i="2" s="1"/>
  <c r="H19" i="2" s="1"/>
  <c r="I19" i="2" s="1"/>
  <c r="F15" i="2"/>
  <c r="G15" i="2" s="1"/>
  <c r="H15" i="2" s="1"/>
  <c r="I15" i="2" s="1"/>
  <c r="D12" i="2"/>
  <c r="C12" i="2"/>
  <c r="B12" i="2"/>
  <c r="F11" i="2"/>
  <c r="G11" i="2" s="1"/>
  <c r="H11" i="2" s="1"/>
  <c r="I11" i="2" s="1"/>
  <c r="F10" i="2"/>
  <c r="G10" i="2" s="1"/>
  <c r="H10" i="2" s="1"/>
  <c r="I10" i="2" s="1"/>
  <c r="B8" i="2"/>
  <c r="B13" i="2" s="1"/>
  <c r="B16" i="2" s="1"/>
  <c r="B18" i="2" s="1"/>
  <c r="F147" i="1"/>
  <c r="G147" i="1" s="1"/>
  <c r="H147" i="1" s="1"/>
  <c r="I147" i="1" s="1"/>
  <c r="F146" i="1"/>
  <c r="F143" i="1"/>
  <c r="G143" i="1" s="1"/>
  <c r="H143" i="1" s="1"/>
  <c r="I143" i="1" s="1"/>
  <c r="F142" i="1"/>
  <c r="G142" i="1" s="1"/>
  <c r="H142" i="1" s="1"/>
  <c r="I142" i="1" s="1"/>
  <c r="F141" i="1"/>
  <c r="G141" i="1" s="1"/>
  <c r="H141" i="1" s="1"/>
  <c r="I141" i="1" s="1"/>
  <c r="F140" i="1"/>
  <c r="G140" i="1" s="1"/>
  <c r="H140" i="1" s="1"/>
  <c r="I140" i="1" s="1"/>
  <c r="F139" i="1"/>
  <c r="F136" i="1"/>
  <c r="G136" i="1" s="1"/>
  <c r="H136" i="1" s="1"/>
  <c r="I136" i="1" s="1"/>
  <c r="F135" i="1"/>
  <c r="F132" i="1"/>
  <c r="G132" i="1" s="1"/>
  <c r="H132" i="1" s="1"/>
  <c r="I132" i="1" s="1"/>
  <c r="F131" i="1"/>
  <c r="G131" i="1" s="1"/>
  <c r="H131" i="1" s="1"/>
  <c r="I131" i="1" s="1"/>
  <c r="F130" i="1"/>
  <c r="G130" i="1" s="1"/>
  <c r="H130" i="1" s="1"/>
  <c r="I130" i="1" s="1"/>
  <c r="F129" i="1"/>
  <c r="G129" i="1" s="1"/>
  <c r="H129" i="1" s="1"/>
  <c r="I129" i="1" s="1"/>
  <c r="F128" i="1"/>
  <c r="G128" i="1" s="1"/>
  <c r="H128" i="1" s="1"/>
  <c r="I128" i="1" s="1"/>
  <c r="F127" i="1"/>
  <c r="G127" i="1" s="1"/>
  <c r="H127" i="1" s="1"/>
  <c r="I127" i="1" s="1"/>
  <c r="F126" i="1"/>
  <c r="G126" i="1" s="1"/>
  <c r="H126" i="1" s="1"/>
  <c r="I126" i="1" s="1"/>
  <c r="F125" i="1"/>
  <c r="D120" i="1"/>
  <c r="C120" i="1"/>
  <c r="E119" i="1"/>
  <c r="E117" i="1"/>
  <c r="D117" i="1"/>
  <c r="F109" i="1"/>
  <c r="G109" i="1" s="1"/>
  <c r="H109" i="1" s="1"/>
  <c r="I109" i="1" s="1"/>
  <c r="B109" i="1"/>
  <c r="D104" i="1"/>
  <c r="C104" i="1"/>
  <c r="D101" i="1"/>
  <c r="C101" i="1"/>
  <c r="D92" i="1"/>
  <c r="C92" i="1"/>
  <c r="F91" i="1"/>
  <c r="G91" i="1" s="1"/>
  <c r="H91" i="1" s="1"/>
  <c r="I91" i="1" s="1"/>
  <c r="G90" i="1"/>
  <c r="D90" i="1"/>
  <c r="G89" i="1"/>
  <c r="D89" i="1"/>
  <c r="E88" i="1"/>
  <c r="D88" i="1"/>
  <c r="D83" i="1"/>
  <c r="C83" i="1"/>
  <c r="E80" i="1"/>
  <c r="D77" i="1"/>
  <c r="C77" i="1"/>
  <c r="B77" i="1"/>
  <c r="B76" i="1"/>
  <c r="D73" i="1"/>
  <c r="C73" i="1"/>
  <c r="B73" i="1"/>
  <c r="B72" i="1"/>
  <c r="D59" i="1"/>
  <c r="C59" i="1"/>
  <c r="D58" i="1"/>
  <c r="E58" i="1" s="1"/>
  <c r="C58" i="1"/>
  <c r="D55" i="1"/>
  <c r="C55" i="1"/>
  <c r="D54" i="1"/>
  <c r="E54" i="1" s="1"/>
  <c r="C54" i="1"/>
  <c r="D51" i="1"/>
  <c r="C51" i="1"/>
  <c r="D43" i="1"/>
  <c r="C43" i="1"/>
  <c r="B43" i="1"/>
  <c r="D37" i="1"/>
  <c r="C37" i="1"/>
  <c r="B37" i="1"/>
  <c r="D22" i="1"/>
  <c r="C22" i="1"/>
  <c r="B22" i="1"/>
  <c r="D18" i="1"/>
  <c r="E18" i="1" s="1"/>
  <c r="D14" i="1"/>
  <c r="E14" i="1" s="1"/>
  <c r="E11" i="1"/>
  <c r="F10" i="1"/>
  <c r="G10" i="1" s="1"/>
  <c r="H10" i="1" s="1"/>
  <c r="I10" i="1" s="1"/>
  <c r="D10" i="1"/>
  <c r="F11" i="1" l="1"/>
  <c r="E15" i="1"/>
  <c r="F14" i="1"/>
  <c r="G14" i="1" s="1"/>
  <c r="H14" i="1" s="1"/>
  <c r="I14" i="1" s="1"/>
  <c r="E19" i="1"/>
  <c r="F18" i="1"/>
  <c r="G18" i="1" s="1"/>
  <c r="H18" i="1" s="1"/>
  <c r="I18" i="1" s="1"/>
  <c r="B42" i="1"/>
  <c r="B36" i="1"/>
  <c r="C6" i="2"/>
  <c r="C42" i="1"/>
  <c r="C36" i="1"/>
  <c r="D6" i="2"/>
  <c r="D42" i="1"/>
  <c r="E42" i="1" s="1"/>
  <c r="D36" i="1"/>
  <c r="E36" i="1" s="1"/>
  <c r="F54" i="1"/>
  <c r="F58" i="1"/>
  <c r="D99" i="1"/>
  <c r="D100" i="1" s="1"/>
  <c r="E100" i="1" s="1"/>
  <c r="F100" i="1" s="1"/>
  <c r="G100" i="1" s="1"/>
  <c r="H100" i="1" s="1"/>
  <c r="I100" i="1" s="1"/>
  <c r="D91" i="1"/>
  <c r="E92" i="1"/>
  <c r="G27" i="4"/>
  <c r="H89" i="1"/>
  <c r="G26" i="4"/>
  <c r="H90" i="1"/>
  <c r="C94" i="1"/>
  <c r="C95" i="1" s="1"/>
  <c r="C96" i="1" s="1"/>
  <c r="D94" i="1"/>
  <c r="E104" i="1"/>
  <c r="F104" i="1" s="1"/>
  <c r="G104" i="1" s="1"/>
  <c r="H104" i="1" s="1"/>
  <c r="I104" i="1" s="1"/>
  <c r="E30" i="4"/>
  <c r="F30" i="4" s="1"/>
  <c r="G30" i="4" s="1"/>
  <c r="H30" i="4" s="1"/>
  <c r="I30" i="4" s="1"/>
  <c r="F119" i="1"/>
  <c r="G119" i="1" s="1"/>
  <c r="H119" i="1" s="1"/>
  <c r="I119" i="1" s="1"/>
  <c r="F10" i="4"/>
  <c r="G125" i="1"/>
  <c r="G135" i="1"/>
  <c r="F22" i="4"/>
  <c r="G139" i="1"/>
  <c r="F31" i="4"/>
  <c r="G146" i="1"/>
  <c r="B7" i="4"/>
  <c r="B18" i="4" s="1"/>
  <c r="B20" i="2"/>
  <c r="F38" i="3"/>
  <c r="E32" i="4"/>
  <c r="F32" i="4"/>
  <c r="G38" i="3" l="1"/>
  <c r="G31" i="4"/>
  <c r="H146" i="1"/>
  <c r="G22" i="4"/>
  <c r="H139" i="1"/>
  <c r="H135" i="1"/>
  <c r="G10" i="4"/>
  <c r="H125" i="1"/>
  <c r="E94" i="1"/>
  <c r="F94" i="1" s="1"/>
  <c r="G94" i="1" s="1"/>
  <c r="H94" i="1" s="1"/>
  <c r="I94" i="1" s="1"/>
  <c r="D95" i="1"/>
  <c r="D96" i="1" s="1"/>
  <c r="H26" i="4"/>
  <c r="I90" i="1"/>
  <c r="I26" i="4" s="1"/>
  <c r="G32" i="4"/>
  <c r="H27" i="4"/>
  <c r="I89" i="1"/>
  <c r="I27" i="4" s="1"/>
  <c r="E95" i="1"/>
  <c r="F88" i="1"/>
  <c r="E99" i="1"/>
  <c r="E101" i="1" s="1"/>
  <c r="E14" i="2" s="1"/>
  <c r="E25" i="3" s="1"/>
  <c r="E17" i="4" s="1"/>
  <c r="G58" i="1"/>
  <c r="G54" i="1"/>
  <c r="F36" i="1"/>
  <c r="G36" i="1" s="1"/>
  <c r="H36" i="1" s="1"/>
  <c r="I36" i="1" s="1"/>
  <c r="E27" i="1"/>
  <c r="F42" i="1"/>
  <c r="D8" i="2"/>
  <c r="D13" i="2" s="1"/>
  <c r="D16" i="2" s="1"/>
  <c r="D76" i="1"/>
  <c r="D72" i="1"/>
  <c r="D67" i="1"/>
  <c r="D64" i="1"/>
  <c r="D50" i="1"/>
  <c r="E50" i="1" s="1"/>
  <c r="C8" i="2"/>
  <c r="C13" i="2" s="1"/>
  <c r="C16" i="2" s="1"/>
  <c r="C76" i="1"/>
  <c r="C72" i="1"/>
  <c r="C67" i="1"/>
  <c r="C64" i="1"/>
  <c r="C50" i="1"/>
  <c r="E33" i="1"/>
  <c r="F19" i="1"/>
  <c r="E30" i="1"/>
  <c r="F15" i="1"/>
  <c r="E22" i="1"/>
  <c r="F27" i="1"/>
  <c r="F22" i="1"/>
  <c r="F6" i="2" s="1"/>
  <c r="G11" i="1"/>
  <c r="G27" i="1" l="1"/>
  <c r="H11" i="1"/>
  <c r="E6" i="2"/>
  <c r="E43" i="1"/>
  <c r="E9" i="2" s="1"/>
  <c r="E12" i="2" s="1"/>
  <c r="F30" i="1"/>
  <c r="G15" i="1"/>
  <c r="F33" i="1"/>
  <c r="G19" i="1"/>
  <c r="C18" i="2"/>
  <c r="C109" i="1"/>
  <c r="E51" i="1"/>
  <c r="E8" i="3" s="1"/>
  <c r="F50" i="1"/>
  <c r="E64" i="1"/>
  <c r="F64" i="1" s="1"/>
  <c r="E67" i="1"/>
  <c r="F67" i="1" s="1"/>
  <c r="E72" i="1"/>
  <c r="F72" i="1" s="1"/>
  <c r="E76" i="1"/>
  <c r="F76" i="1" s="1"/>
  <c r="D18" i="2"/>
  <c r="D109" i="1"/>
  <c r="F43" i="1"/>
  <c r="F9" i="2" s="1"/>
  <c r="F12" i="2" s="1"/>
  <c r="G42" i="1"/>
  <c r="E37" i="1"/>
  <c r="E7" i="2" s="1"/>
  <c r="H54" i="1"/>
  <c r="H58" i="1"/>
  <c r="F92" i="1"/>
  <c r="E22" i="3"/>
  <c r="E96" i="1"/>
  <c r="E29" i="3" s="1"/>
  <c r="H10" i="4"/>
  <c r="I125" i="1"/>
  <c r="I10" i="4" s="1"/>
  <c r="I135" i="1"/>
  <c r="H22" i="4"/>
  <c r="I139" i="1"/>
  <c r="I22" i="4" s="1"/>
  <c r="H31" i="4"/>
  <c r="H32" i="4" s="1"/>
  <c r="I146" i="1"/>
  <c r="I31" i="4" s="1"/>
  <c r="I32" i="4" s="1"/>
  <c r="H38" i="3"/>
  <c r="I38" i="3" l="1"/>
  <c r="F95" i="1"/>
  <c r="G88" i="1"/>
  <c r="F99" i="1"/>
  <c r="F101" i="1" s="1"/>
  <c r="F14" i="2" s="1"/>
  <c r="F25" i="3" s="1"/>
  <c r="F17" i="4" s="1"/>
  <c r="I58" i="1"/>
  <c r="I54" i="1"/>
  <c r="E55" i="1"/>
  <c r="E9" i="3" s="1"/>
  <c r="E59" i="1"/>
  <c r="E23" i="3" s="1"/>
  <c r="H42" i="1"/>
  <c r="D7" i="4"/>
  <c r="D18" i="4" s="1"/>
  <c r="D20" i="2"/>
  <c r="D118" i="1" s="1"/>
  <c r="D119" i="1" s="1"/>
  <c r="G76" i="1"/>
  <c r="H76" i="1" s="1"/>
  <c r="I76" i="1" s="1"/>
  <c r="F77" i="1"/>
  <c r="G72" i="1"/>
  <c r="H72" i="1" s="1"/>
  <c r="I72" i="1" s="1"/>
  <c r="F73" i="1"/>
  <c r="G67" i="1"/>
  <c r="H67" i="1" s="1"/>
  <c r="I67" i="1" s="1"/>
  <c r="F24" i="3"/>
  <c r="G64" i="1"/>
  <c r="H64" i="1" s="1"/>
  <c r="I64" i="1" s="1"/>
  <c r="F10" i="3"/>
  <c r="F51" i="1"/>
  <c r="F8" i="3" s="1"/>
  <c r="G50" i="1"/>
  <c r="F12" i="4"/>
  <c r="E12" i="4"/>
  <c r="C7" i="4"/>
  <c r="C18" i="4" s="1"/>
  <c r="C20" i="2"/>
  <c r="G33" i="1"/>
  <c r="H19" i="1"/>
  <c r="G30" i="1"/>
  <c r="H15" i="1"/>
  <c r="G22" i="1"/>
  <c r="F37" i="1"/>
  <c r="F7" i="2" s="1"/>
  <c r="E24" i="3"/>
  <c r="E16" i="4" s="1"/>
  <c r="E10" i="3"/>
  <c r="E8" i="2"/>
  <c r="E13" i="2" s="1"/>
  <c r="E16" i="2" s="1"/>
  <c r="E77" i="1"/>
  <c r="E73" i="1"/>
  <c r="H27" i="1"/>
  <c r="H22" i="1"/>
  <c r="H6" i="2" s="1"/>
  <c r="I11" i="1"/>
  <c r="G37" i="1"/>
  <c r="G7" i="2" s="1"/>
  <c r="G55" i="1" l="1"/>
  <c r="G9" i="3" s="1"/>
  <c r="G59" i="1"/>
  <c r="G23" i="3" s="1"/>
  <c r="I27" i="1"/>
  <c r="H24" i="3"/>
  <c r="H10" i="3"/>
  <c r="H77" i="1"/>
  <c r="H73" i="1"/>
  <c r="E21" i="4"/>
  <c r="E23" i="4" s="1"/>
  <c r="E81" i="1"/>
  <c r="E9" i="4"/>
  <c r="E82" i="1"/>
  <c r="E17" i="2"/>
  <c r="E18" i="2" s="1"/>
  <c r="F15" i="4"/>
  <c r="E15" i="4"/>
  <c r="F59" i="1"/>
  <c r="F23" i="3" s="1"/>
  <c r="F14" i="4" s="1"/>
  <c r="F55" i="1"/>
  <c r="F9" i="3" s="1"/>
  <c r="G13" i="4" s="1"/>
  <c r="F8" i="2"/>
  <c r="F13" i="2" s="1"/>
  <c r="F16" i="2" s="1"/>
  <c r="G6" i="2"/>
  <c r="G43" i="1"/>
  <c r="G9" i="2" s="1"/>
  <c r="G12" i="2" s="1"/>
  <c r="H30" i="1"/>
  <c r="I15" i="1"/>
  <c r="H33" i="1"/>
  <c r="I19" i="1"/>
  <c r="I33" i="1" s="1"/>
  <c r="G51" i="1"/>
  <c r="G8" i="3" s="1"/>
  <c r="H50" i="1"/>
  <c r="G12" i="4"/>
  <c r="F16" i="4"/>
  <c r="F21" i="4"/>
  <c r="F23" i="4" s="1"/>
  <c r="F81" i="1"/>
  <c r="F9" i="4"/>
  <c r="F82" i="1"/>
  <c r="H43" i="1"/>
  <c r="H9" i="2" s="1"/>
  <c r="H12" i="2" s="1"/>
  <c r="I42" i="1"/>
  <c r="E14" i="4"/>
  <c r="E28" i="3"/>
  <c r="E34" i="3" s="1"/>
  <c r="F13" i="4"/>
  <c r="E13" i="4"/>
  <c r="G92" i="1"/>
  <c r="F22" i="3"/>
  <c r="F28" i="3" s="1"/>
  <c r="F96" i="1"/>
  <c r="F29" i="3" s="1"/>
  <c r="F34" i="3" l="1"/>
  <c r="G95" i="1"/>
  <c r="H88" i="1"/>
  <c r="G99" i="1"/>
  <c r="G101" i="1" s="1"/>
  <c r="G14" i="2" s="1"/>
  <c r="G25" i="3" s="1"/>
  <c r="G17" i="4" s="1"/>
  <c r="H51" i="1"/>
  <c r="H8" i="3" s="1"/>
  <c r="I50" i="1"/>
  <c r="H12" i="4"/>
  <c r="I30" i="1"/>
  <c r="I22" i="1"/>
  <c r="H37" i="1"/>
  <c r="H7" i="2" s="1"/>
  <c r="G24" i="3"/>
  <c r="G16" i="4" s="1"/>
  <c r="G10" i="3"/>
  <c r="G8" i="2"/>
  <c r="G13" i="2" s="1"/>
  <c r="G16" i="2" s="1"/>
  <c r="G77" i="1"/>
  <c r="G73" i="1"/>
  <c r="F17" i="2"/>
  <c r="F18" i="2" s="1"/>
  <c r="E7" i="4"/>
  <c r="E18" i="4" s="1"/>
  <c r="E35" i="4" s="1"/>
  <c r="E37" i="4" s="1"/>
  <c r="E20" i="2"/>
  <c r="E118" i="1" s="1"/>
  <c r="E120" i="1" s="1"/>
  <c r="E83" i="1"/>
  <c r="H21" i="4"/>
  <c r="H23" i="4" s="1"/>
  <c r="H81" i="1"/>
  <c r="H9" i="4"/>
  <c r="H82" i="1"/>
  <c r="H16" i="4"/>
  <c r="I37" i="1"/>
  <c r="I7" i="2" s="1"/>
  <c r="G14" i="4"/>
  <c r="I55" i="1" l="1"/>
  <c r="I9" i="3" s="1"/>
  <c r="I59" i="1"/>
  <c r="I23" i="3" s="1"/>
  <c r="E15" i="3"/>
  <c r="F80" i="1"/>
  <c r="F83" i="1" s="1"/>
  <c r="E40" i="3"/>
  <c r="E43" i="3" s="1"/>
  <c r="E45" i="3" s="1"/>
  <c r="E47" i="3" s="1"/>
  <c r="F117" i="1"/>
  <c r="F36" i="4"/>
  <c r="E7" i="3"/>
  <c r="E14" i="3" s="1"/>
  <c r="E19" i="3" s="1"/>
  <c r="E49" i="3" s="1"/>
  <c r="F7" i="4"/>
  <c r="F18" i="4" s="1"/>
  <c r="F35" i="4" s="1"/>
  <c r="F37" i="4" s="1"/>
  <c r="F20" i="2"/>
  <c r="F118" i="1" s="1"/>
  <c r="G21" i="4"/>
  <c r="G23" i="4" s="1"/>
  <c r="G81" i="1"/>
  <c r="G9" i="4"/>
  <c r="G82" i="1"/>
  <c r="G17" i="2"/>
  <c r="G18" i="2" s="1"/>
  <c r="H15" i="4"/>
  <c r="G15" i="4"/>
  <c r="H59" i="1"/>
  <c r="H23" i="3" s="1"/>
  <c r="H14" i="4" s="1"/>
  <c r="H55" i="1"/>
  <c r="H9" i="3" s="1"/>
  <c r="H8" i="2"/>
  <c r="H13" i="2" s="1"/>
  <c r="I6" i="2"/>
  <c r="I43" i="1"/>
  <c r="I9" i="2" s="1"/>
  <c r="I12" i="2" s="1"/>
  <c r="I51" i="1"/>
  <c r="I8" i="3" s="1"/>
  <c r="I12" i="4"/>
  <c r="H92" i="1"/>
  <c r="G22" i="3"/>
  <c r="G28" i="3" s="1"/>
  <c r="G96" i="1"/>
  <c r="G29" i="3" s="1"/>
  <c r="G34" i="3" l="1"/>
  <c r="H95" i="1"/>
  <c r="I88" i="1"/>
  <c r="H99" i="1"/>
  <c r="H101" i="1" s="1"/>
  <c r="H14" i="2" s="1"/>
  <c r="H25" i="3" s="1"/>
  <c r="H17" i="4" s="1"/>
  <c r="I24" i="3"/>
  <c r="I16" i="4" s="1"/>
  <c r="I10" i="3"/>
  <c r="I15" i="4" s="1"/>
  <c r="I8" i="2"/>
  <c r="I13" i="2" s="1"/>
  <c r="I77" i="1"/>
  <c r="I73" i="1"/>
  <c r="H16" i="2"/>
  <c r="I13" i="4"/>
  <c r="H13" i="4"/>
  <c r="G7" i="4"/>
  <c r="G18" i="4" s="1"/>
  <c r="G35" i="4" s="1"/>
  <c r="G20" i="2"/>
  <c r="G118" i="1" s="1"/>
  <c r="G36" i="4"/>
  <c r="F7" i="3"/>
  <c r="F14" i="3" s="1"/>
  <c r="F120" i="1"/>
  <c r="F15" i="3"/>
  <c r="G80" i="1"/>
  <c r="G83" i="1" s="1"/>
  <c r="I14" i="4"/>
  <c r="G15" i="3" l="1"/>
  <c r="H80" i="1"/>
  <c r="H83" i="1" s="1"/>
  <c r="F40" i="3"/>
  <c r="F43" i="3" s="1"/>
  <c r="F45" i="3" s="1"/>
  <c r="F47" i="3" s="1"/>
  <c r="G117" i="1"/>
  <c r="G120" i="1" s="1"/>
  <c r="F19" i="3"/>
  <c r="F49" i="3" s="1"/>
  <c r="G37" i="4"/>
  <c r="H17" i="2"/>
  <c r="H18" i="2" s="1"/>
  <c r="I21" i="4"/>
  <c r="I23" i="4" s="1"/>
  <c r="I81" i="1"/>
  <c r="I9" i="4"/>
  <c r="I82" i="1"/>
  <c r="I92" i="1"/>
  <c r="H22" i="3"/>
  <c r="H28" i="3" s="1"/>
  <c r="H96" i="1"/>
  <c r="H29" i="3" s="1"/>
  <c r="H34" i="3" l="1"/>
  <c r="I95" i="1"/>
  <c r="I99" i="1"/>
  <c r="I101" i="1" s="1"/>
  <c r="I14" i="2" s="1"/>
  <c r="H7" i="4"/>
  <c r="H18" i="4" s="1"/>
  <c r="H35" i="4" s="1"/>
  <c r="H20" i="2"/>
  <c r="H118" i="1" s="1"/>
  <c r="H36" i="4"/>
  <c r="G7" i="3"/>
  <c r="G14" i="3" s="1"/>
  <c r="G19" i="3" s="1"/>
  <c r="G49" i="3" s="1"/>
  <c r="G40" i="3"/>
  <c r="G43" i="3" s="1"/>
  <c r="G45" i="3" s="1"/>
  <c r="G47" i="3" s="1"/>
  <c r="H117" i="1"/>
  <c r="H120" i="1" s="1"/>
  <c r="H15" i="3"/>
  <c r="I80" i="1"/>
  <c r="I83" i="1" s="1"/>
  <c r="I15" i="3" s="1"/>
  <c r="H40" i="3" l="1"/>
  <c r="H43" i="3" s="1"/>
  <c r="H45" i="3" s="1"/>
  <c r="I117" i="1"/>
  <c r="H37" i="4"/>
  <c r="I25" i="3"/>
  <c r="I17" i="4" s="1"/>
  <c r="I16" i="2"/>
  <c r="I22" i="3"/>
  <c r="I28" i="3" s="1"/>
  <c r="I96" i="1"/>
  <c r="I29" i="3" s="1"/>
  <c r="H47" i="3"/>
  <c r="I34" i="3" l="1"/>
  <c r="I17" i="2"/>
  <c r="I18" i="2" s="1"/>
  <c r="I36" i="4"/>
  <c r="H7" i="3"/>
  <c r="H14" i="3" s="1"/>
  <c r="H19" i="3" s="1"/>
  <c r="H49" i="3" s="1"/>
  <c r="I7" i="4" l="1"/>
  <c r="I18" i="4" s="1"/>
  <c r="I35" i="4" s="1"/>
  <c r="I37" i="4" s="1"/>
  <c r="I7" i="3" s="1"/>
  <c r="I14" i="3" s="1"/>
  <c r="I19" i="3" s="1"/>
  <c r="I49" i="3" s="1"/>
  <c r="I20" i="2"/>
  <c r="I118" i="1" s="1"/>
  <c r="I120" i="1" s="1"/>
  <c r="I40" i="3" s="1"/>
  <c r="I43" i="3" s="1"/>
  <c r="I45" i="3" s="1"/>
  <c r="I47" i="3"/>
</calcChain>
</file>

<file path=xl/sharedStrings.xml><?xml version="1.0" encoding="utf-8"?>
<sst xmlns="http://schemas.openxmlformats.org/spreadsheetml/2006/main" count="239" uniqueCount="169">
  <si>
    <t>The Kraft Heinz Company (NASDAQ: KHC)</t>
  </si>
  <si>
    <t>Integrated Financial Model and Projections (2026E - 2030E)</t>
  </si>
  <si>
    <t>Figures in millions of USD</t>
  </si>
  <si>
    <t>SCHEDULES</t>
  </si>
  <si>
    <t>2023A</t>
  </si>
  <si>
    <t>2024A</t>
  </si>
  <si>
    <t>2025A</t>
  </si>
  <si>
    <t>2026E</t>
  </si>
  <si>
    <t>2027E</t>
  </si>
  <si>
    <t>2028E</t>
  </si>
  <si>
    <t>2029E</t>
  </si>
  <si>
    <t>2030E</t>
  </si>
  <si>
    <t>1. Net Sales</t>
  </si>
  <si>
    <t>North America</t>
  </si>
  <si>
    <t>Annual sales growth (%)</t>
  </si>
  <si>
    <t>Net sales: North America</t>
  </si>
  <si>
    <t>International developed markets</t>
  </si>
  <si>
    <t>Net sales: International developed markets</t>
  </si>
  <si>
    <t>Emerging markets</t>
  </si>
  <si>
    <t>Net sales: Emerging markets</t>
  </si>
  <si>
    <t>Net sales</t>
  </si>
  <si>
    <t>2. Cost of Products Sold</t>
  </si>
  <si>
    <t>COGS - North America</t>
  </si>
  <si>
    <t>COGS - International developed markets</t>
  </si>
  <si>
    <t>COGS - Emerging markets</t>
  </si>
  <si>
    <t>Cost of products sold (COGS)</t>
  </si>
  <si>
    <t>Cost of sales (%)</t>
  </si>
  <si>
    <t>Cost of products sold</t>
  </si>
  <si>
    <t>3. OpEx</t>
  </si>
  <si>
    <t>Operating expenses</t>
  </si>
  <si>
    <t>Annual growth of operating expenses (%)</t>
  </si>
  <si>
    <t>Selling, general and administrative expenses, excluding impairment losses</t>
  </si>
  <si>
    <t>4. Net Working Capital</t>
  </si>
  <si>
    <t>Cash conversion cycle accounts</t>
  </si>
  <si>
    <t>Trade receivables</t>
  </si>
  <si>
    <t>DSO (Days)</t>
  </si>
  <si>
    <t>Inventories</t>
  </si>
  <si>
    <t>DIO (Days)</t>
  </si>
  <si>
    <t>Accounts payable</t>
  </si>
  <si>
    <t>DPO (Days)</t>
  </si>
  <si>
    <t>Other operating current accounts</t>
  </si>
  <si>
    <t>Prepaid expenses</t>
  </si>
  <si>
    <t>Prepaid expenses (% of sales)</t>
  </si>
  <si>
    <t>Marketing expenses accrued</t>
  </si>
  <si>
    <t>Accrued marketing (% of sales)</t>
  </si>
  <si>
    <t>5. CapEx, D&amp;A &amp; PP&amp;E</t>
  </si>
  <si>
    <t>Capital expenditures</t>
  </si>
  <si>
    <t>CapEx (% of sales)</t>
  </si>
  <si>
    <t>Depreciation and amortization</t>
  </si>
  <si>
    <t>D&amp;A (% of sales)</t>
  </si>
  <si>
    <t>PP&amp;E roll-forward</t>
  </si>
  <si>
    <t>Initial PP&amp;E balance</t>
  </si>
  <si>
    <t>(+) CapEx</t>
  </si>
  <si>
    <t>(-) D&amp;A</t>
  </si>
  <si>
    <t>Final PP&amp;E balance, net</t>
  </si>
  <si>
    <t>6. Debt &amp; Interest</t>
  </si>
  <si>
    <t>Debt roll-forward</t>
  </si>
  <si>
    <t>Initial debt balance</t>
  </si>
  <si>
    <t>(+) Proceeds from issuance of long-term debt</t>
  </si>
  <si>
    <t>(-) Repayments of long-term debt</t>
  </si>
  <si>
    <t>(+/-) Adjustments (FX effect and others)</t>
  </si>
  <si>
    <t>Final debt balance</t>
  </si>
  <si>
    <t>Current portion of debt (% of final debt balance)</t>
  </si>
  <si>
    <t>Current portion of long-term debt</t>
  </si>
  <si>
    <t>Long-term debt</t>
  </si>
  <si>
    <t>Interest expenses</t>
  </si>
  <si>
    <t>Average total debt</t>
  </si>
  <si>
    <t>Implied interest rate</t>
  </si>
  <si>
    <t>Interest expense</t>
  </si>
  <si>
    <t>Interest payable</t>
  </si>
  <si>
    <t>Interest payable (% of interest expense)</t>
  </si>
  <si>
    <t>7. Tax Rate</t>
  </si>
  <si>
    <t>U.S. statutory tax rate adjustment</t>
  </si>
  <si>
    <t>Effective tax rate</t>
  </si>
  <si>
    <t>8. Retained Earnings</t>
  </si>
  <si>
    <t>Dividends declared-common stock</t>
  </si>
  <si>
    <t>Retained earnings roll-forward</t>
  </si>
  <si>
    <t>Initial retained earnings balance</t>
  </si>
  <si>
    <t>(+) Net income/(loss) attributable to common shareholders</t>
  </si>
  <si>
    <t>(-) Dividends declared</t>
  </si>
  <si>
    <t>Final retained earnings balance</t>
  </si>
  <si>
    <t>9. Other Cash Flow Items</t>
  </si>
  <si>
    <t>Other non-cash items (Historical plug)</t>
  </si>
  <si>
    <t>Divestiture-related license income</t>
  </si>
  <si>
    <t>Equity award compensation expense</t>
  </si>
  <si>
    <t>Deferred income tax provision/(benefit)</t>
  </si>
  <si>
    <t>Postemployment benefit plan asset transfers/(contributions)</t>
  </si>
  <si>
    <t>Goodwill and intangible asset impairment losses</t>
  </si>
  <si>
    <t>Nonmonetary currency devaluation</t>
  </si>
  <si>
    <t>Loss/(gain) on sale of business</t>
  </si>
  <si>
    <t>Other items, net</t>
  </si>
  <si>
    <t>Other NWC items (Historical plug)</t>
  </si>
  <si>
    <t>Other current assets</t>
  </si>
  <si>
    <t>Other current liabilities</t>
  </si>
  <si>
    <t>Other investing activities (Historical plug)</t>
  </si>
  <si>
    <t>Payments to acquire intangible assets</t>
  </si>
  <si>
    <t>Purchases of marketable securities</t>
  </si>
  <si>
    <t>Proceeds from sale of marketable securities</t>
  </si>
  <si>
    <t>Proceeds from sale of business, net of cash disposed and working capital adjustments</t>
  </si>
  <si>
    <t>Other investing activities, net</t>
  </si>
  <si>
    <t>Other financing activities (Historical plug)</t>
  </si>
  <si>
    <t>Repurchases of common stock</t>
  </si>
  <si>
    <t>Other financing activities, net</t>
  </si>
  <si>
    <t>10. Restricted Cash</t>
  </si>
  <si>
    <t>Restricted cash (Imbalance adjustment)</t>
  </si>
  <si>
    <t>Restricted cash</t>
  </si>
  <si>
    <t>INCOME STATEMENT</t>
  </si>
  <si>
    <t>Gross profit</t>
  </si>
  <si>
    <t>Goodwill impairment losses</t>
  </si>
  <si>
    <t>Intangible asset impairment losses</t>
  </si>
  <si>
    <t>Selling, general and administrative expenses (Total)</t>
  </si>
  <si>
    <t>Operating income/(loss)</t>
  </si>
  <si>
    <t>Other expense/(income)</t>
  </si>
  <si>
    <t>Income/(loss) before income taxes</t>
  </si>
  <si>
    <t>Provision for/(benefit from) income taxes</t>
  </si>
  <si>
    <t>Net income/(loss)</t>
  </si>
  <si>
    <t>Net income/(loss) attributable to noncontrolling interest</t>
  </si>
  <si>
    <t>Net income/(loss) attributable to common shareholders</t>
  </si>
  <si>
    <t>BALANCE SHEET</t>
  </si>
  <si>
    <t>Assets</t>
  </si>
  <si>
    <t>Cash and cash equivalents</t>
  </si>
  <si>
    <t>Marketable securities</t>
  </si>
  <si>
    <t>Assets held for sale</t>
  </si>
  <si>
    <t>Total current assets</t>
  </si>
  <si>
    <t>Property, plant and equipment, net</t>
  </si>
  <si>
    <t>Goodwill</t>
  </si>
  <si>
    <t>Intangible assets, net</t>
  </si>
  <si>
    <t>Other non-current assets</t>
  </si>
  <si>
    <t>Total assets</t>
  </si>
  <si>
    <t>Liabilities</t>
  </si>
  <si>
    <t>Accrued marketing</t>
  </si>
  <si>
    <t>Liabilities held for sale</t>
  </si>
  <si>
    <t>Total current liabilities</t>
  </si>
  <si>
    <t>Deferred income taxes</t>
  </si>
  <si>
    <t>Accrued postemployment costs</t>
  </si>
  <si>
    <t>Long-term deferred income</t>
  </si>
  <si>
    <t>Other non-current liabilities</t>
  </si>
  <si>
    <t>Total liabilities</t>
  </si>
  <si>
    <t>Redeemable noncontrolling interest</t>
  </si>
  <si>
    <t>Equity</t>
  </si>
  <si>
    <t>Common stock</t>
  </si>
  <si>
    <t>Additional paid-in capital</t>
  </si>
  <si>
    <t>Retained earnings/(deficit)</t>
  </si>
  <si>
    <t>Accumulated other comprehensive income/(losses)</t>
  </si>
  <si>
    <t>Treasury stock, at cost</t>
  </si>
  <si>
    <t>Total shareholders' equity</t>
  </si>
  <si>
    <t>Noncontrolling interest</t>
  </si>
  <si>
    <t>Total equity</t>
  </si>
  <si>
    <t>Total liabilities and equity</t>
  </si>
  <si>
    <t>Balance Check (Assets - Liab. &amp; Equity)</t>
  </si>
  <si>
    <t>CASH FLOW STATEMENT</t>
  </si>
  <si>
    <t>Cash flows from operating activities</t>
  </si>
  <si>
    <t>Adjustments to reconcile net income to operating cash flows</t>
  </si>
  <si>
    <t>Changes in current assets and liabilities</t>
  </si>
  <si>
    <t>Net cash provided by/(used for) operating activities</t>
  </si>
  <si>
    <t>Cash flows from investing activities</t>
  </si>
  <si>
    <t>Net cash provided by/(used for) investing activities</t>
  </si>
  <si>
    <t>Cash flows from financing activities</t>
  </si>
  <si>
    <t>Repayments of long-term debt</t>
  </si>
  <si>
    <t>Proceeds from issuance of long-term debt</t>
  </si>
  <si>
    <t>Proceeds from issuance of commercial paper</t>
  </si>
  <si>
    <t>Repayments of commercial paper</t>
  </si>
  <si>
    <t>Dividends paid</t>
  </si>
  <si>
    <t>Net cash provided by/(used for) financing activities</t>
  </si>
  <si>
    <t>Effect of exchange rate changes on cash</t>
  </si>
  <si>
    <t>Net increase/(decrease) in cash, cash equivalents, and restricted cash</t>
  </si>
  <si>
    <t>Balance at beginning of period</t>
  </si>
  <si>
    <t>Balance at end of period</t>
  </si>
  <si>
    <t xml:space="preserve">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</si>
</sst>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-* #,##0.00_-;\-* #,##0.00_-;_-* &quot;-&quot;??_-;_-@"/>
    <numFmt numFmtId="165" formatCode="0.00%;\(0.00%\)"/>
    <numFmt numFmtId="166" formatCode="#,##0;\(#,##0\)"/>
    <numFmt numFmtId="167" formatCode="_-* #,##0_-;\-* #,##0_-;_-* &quot;-&quot;??_-;_-@"/>
    <numFmt numFmtId="168" formatCode="0.000"/>
    <numFmt numFmtId="169" formatCode="[Red]&quot;Error: &quot;0.00;[Red]&quot;Error: &quot;\-0.00;&quot;OK&quot;"/>
  </numFmts>
  <fonts count="14" x14ac:knownFonts="1">
    <font>
      <sz val="11"/>
      <color theme="1"/>
      <name val="Aptos Narrow"/>
      <scheme val="minor"/>
    </font>
    <font>
      <b/>
      <sz val="8"/>
      <color theme="1"/>
      <name val="Arial"/>
    </font>
    <font>
      <sz val="8"/>
      <color theme="1"/>
      <name val="Arial"/>
    </font>
    <font>
      <i/>
      <sz val="8"/>
      <color theme="1"/>
      <name val="Arial"/>
    </font>
    <font>
      <sz val="8"/>
      <color rgb="FF0000FF"/>
      <name val="Arial"/>
    </font>
    <font>
      <sz val="8"/>
      <color rgb="FF215E99"/>
      <name val="Arial"/>
    </font>
    <font>
      <sz val="8"/>
      <color rgb="FF3C7D22"/>
      <name val="Arial"/>
    </font>
    <font>
      <sz val="8"/>
      <color rgb="FF000000"/>
      <name val="Arial"/>
    </font>
    <font>
      <sz val="8"/>
      <color rgb="FF47D45A"/>
      <name val="Arial"/>
    </font>
    <font>
      <sz val="8"/>
      <color rgb="FF4D94D8"/>
      <name val="Arial"/>
    </font>
    <font>
      <sz val="11"/>
      <color theme="1"/>
      <name val="Aptos Narrow"/>
    </font>
    <font>
      <b/>
      <i/>
      <sz val="8"/>
      <color theme="1"/>
      <name val="Arial"/>
    </font>
    <font>
      <b/>
      <sz val="8"/>
      <color rgb="FF000000"/>
      <name val="Arial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3F3F3"/>
        <bgColor rgb="FFF3F3F3"/>
      </patternFill>
    </fill>
  </fills>
  <borders count="11">
    <border>
      <left/>
      <right/>
      <top/>
      <bottom/>
      <diagonal/>
    </border>
    <border>
      <left/>
      <right style="medium">
        <color rgb="FFCCCCCC"/>
      </right>
      <top style="medium">
        <color rgb="FFCCCCCC"/>
      </top>
      <bottom style="thin">
        <color rgb="FF666666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thin">
        <color rgb="FF666666"/>
      </bottom>
      <diagonal/>
    </border>
    <border>
      <left style="medium">
        <color rgb="FFCCCCCC"/>
      </left>
      <right/>
      <top style="medium">
        <color rgb="FFCCCCCC"/>
      </top>
      <bottom style="thin">
        <color rgb="FF666666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666666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medium">
        <color rgb="FF999999"/>
      </left>
      <right/>
      <top style="medium">
        <color rgb="FF999999"/>
      </top>
      <bottom style="medium">
        <color rgb="FF999999"/>
      </bottom>
      <diagonal/>
    </border>
    <border>
      <left/>
      <right/>
      <top style="medium">
        <color rgb="FF999999"/>
      </top>
      <bottom style="medium">
        <color rgb="FF999999"/>
      </bottom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78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/>
    <xf numFmtId="0" fontId="1" fillId="0" borderId="0" xfId="0" applyFont="1" applyAlignment="1">
      <alignment horizontal="left" vertical="center"/>
    </xf>
    <xf numFmtId="0" fontId="1" fillId="0" borderId="1" xfId="0" applyFont="1" applyBorder="1" applyAlignment="1">
      <alignment horizontal="right" vertical="center" wrapText="1"/>
    </xf>
    <xf numFmtId="0" fontId="1" fillId="0" borderId="2" xfId="0" applyFont="1" applyBorder="1" applyAlignment="1">
      <alignment horizontal="right" vertical="center" wrapText="1"/>
    </xf>
    <xf numFmtId="0" fontId="1" fillId="0" borderId="3" xfId="0" applyFont="1" applyBorder="1" applyAlignment="1">
      <alignment horizontal="right" vertical="center" wrapText="1"/>
    </xf>
    <xf numFmtId="0" fontId="1" fillId="0" borderId="0" xfId="0" applyFont="1" applyAlignment="1">
      <alignment horizontal="center" wrapText="1"/>
    </xf>
    <xf numFmtId="0" fontId="1" fillId="0" borderId="0" xfId="0" applyFont="1"/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horizontal="center"/>
    </xf>
    <xf numFmtId="164" fontId="2" fillId="0" borderId="0" xfId="0" applyNumberFormat="1" applyFont="1" applyAlignment="1">
      <alignment horizontal="right" vertical="center"/>
    </xf>
    <xf numFmtId="165" fontId="2" fillId="0" borderId="0" xfId="0" applyNumberFormat="1" applyFont="1" applyAlignment="1">
      <alignment horizontal="right" vertical="center"/>
    </xf>
    <xf numFmtId="10" fontId="4" fillId="0" borderId="0" xfId="0" applyNumberFormat="1" applyFont="1" applyAlignment="1">
      <alignment horizontal="right" vertical="center"/>
    </xf>
    <xf numFmtId="10" fontId="2" fillId="0" borderId="0" xfId="0" applyNumberFormat="1" applyFont="1" applyAlignment="1">
      <alignment horizontal="right" vertical="center"/>
    </xf>
    <xf numFmtId="0" fontId="4" fillId="0" borderId="0" xfId="0" applyFont="1" applyAlignment="1">
      <alignment horizontal="center"/>
    </xf>
    <xf numFmtId="166" fontId="4" fillId="0" borderId="0" xfId="0" applyNumberFormat="1" applyFont="1" applyAlignment="1">
      <alignment horizontal="right" vertical="center"/>
    </xf>
    <xf numFmtId="166" fontId="2" fillId="0" borderId="0" xfId="0" applyNumberFormat="1" applyFont="1" applyAlignment="1">
      <alignment horizontal="right" vertical="center"/>
    </xf>
    <xf numFmtId="3" fontId="5" fillId="0" borderId="0" xfId="0" applyNumberFormat="1" applyFont="1" applyAlignment="1">
      <alignment horizontal="right" vertical="center"/>
    </xf>
    <xf numFmtId="3" fontId="2" fillId="0" borderId="0" xfId="0" applyNumberFormat="1" applyFont="1" applyAlignment="1">
      <alignment horizontal="right" vertical="center"/>
    </xf>
    <xf numFmtId="10" fontId="2" fillId="0" borderId="0" xfId="0" applyNumberFormat="1" applyFont="1" applyAlignment="1">
      <alignment horizontal="center" wrapText="1"/>
    </xf>
    <xf numFmtId="167" fontId="6" fillId="0" borderId="0" xfId="0" applyNumberFormat="1" applyFont="1" applyAlignment="1">
      <alignment horizontal="right" vertical="center"/>
    </xf>
    <xf numFmtId="166" fontId="7" fillId="0" borderId="0" xfId="0" applyNumberFormat="1" applyFont="1" applyAlignment="1">
      <alignment horizontal="right" vertical="center"/>
    </xf>
    <xf numFmtId="168" fontId="2" fillId="0" borderId="0" xfId="0" applyNumberFormat="1" applyFont="1" applyAlignment="1">
      <alignment horizontal="right" vertical="center"/>
    </xf>
    <xf numFmtId="166" fontId="6" fillId="0" borderId="0" xfId="0" applyNumberFormat="1" applyFont="1" applyAlignment="1">
      <alignment horizontal="right" vertical="center"/>
    </xf>
    <xf numFmtId="2" fontId="2" fillId="0" borderId="0" xfId="0" applyNumberFormat="1" applyFont="1"/>
    <xf numFmtId="4" fontId="2" fillId="0" borderId="0" xfId="0" applyNumberFormat="1" applyFont="1"/>
    <xf numFmtId="3" fontId="8" fillId="0" borderId="0" xfId="0" applyNumberFormat="1" applyFont="1" applyAlignment="1">
      <alignment horizontal="right" vertical="center"/>
    </xf>
    <xf numFmtId="10" fontId="6" fillId="0" borderId="0" xfId="0" applyNumberFormat="1" applyFont="1" applyAlignment="1">
      <alignment horizontal="right" vertical="center"/>
    </xf>
    <xf numFmtId="3" fontId="9" fillId="0" borderId="0" xfId="0" applyNumberFormat="1" applyFont="1" applyAlignment="1">
      <alignment horizontal="right" vertical="center"/>
    </xf>
    <xf numFmtId="1" fontId="9" fillId="0" borderId="0" xfId="0" applyNumberFormat="1" applyFont="1" applyAlignment="1">
      <alignment horizontal="right" vertical="center"/>
    </xf>
    <xf numFmtId="166" fontId="2" fillId="0" borderId="0" xfId="0" applyNumberFormat="1" applyFont="1" applyAlignment="1">
      <alignment horizontal="center"/>
    </xf>
    <xf numFmtId="166" fontId="2" fillId="0" borderId="0" xfId="0" applyNumberFormat="1" applyFont="1"/>
    <xf numFmtId="164" fontId="2" fillId="0" borderId="4" xfId="0" applyNumberFormat="1" applyFont="1" applyBorder="1" applyAlignment="1">
      <alignment horizontal="right" vertical="center"/>
    </xf>
    <xf numFmtId="166" fontId="6" fillId="0" borderId="4" xfId="0" applyNumberFormat="1" applyFont="1" applyBorder="1" applyAlignment="1">
      <alignment horizontal="right" vertical="center"/>
    </xf>
    <xf numFmtId="166" fontId="2" fillId="0" borderId="4" xfId="0" applyNumberFormat="1" applyFont="1" applyBorder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167" fontId="2" fillId="0" borderId="0" xfId="0" applyNumberFormat="1" applyFont="1" applyAlignment="1">
      <alignment horizontal="right" vertical="center"/>
    </xf>
    <xf numFmtId="165" fontId="6" fillId="0" borderId="0" xfId="0" applyNumberFormat="1" applyFont="1" applyAlignment="1">
      <alignment horizontal="right" vertical="center"/>
    </xf>
    <xf numFmtId="10" fontId="9" fillId="0" borderId="0" xfId="0" applyNumberFormat="1" applyFont="1" applyAlignment="1">
      <alignment horizontal="right" vertical="center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3" fontId="2" fillId="0" borderId="0" xfId="0" applyNumberFormat="1" applyFont="1" applyAlignment="1">
      <alignment horizontal="center"/>
    </xf>
    <xf numFmtId="166" fontId="5" fillId="0" borderId="0" xfId="0" applyNumberFormat="1" applyFont="1" applyAlignment="1">
      <alignment horizontal="right" vertical="center"/>
    </xf>
    <xf numFmtId="3" fontId="2" fillId="0" borderId="0" xfId="0" applyNumberFormat="1" applyFont="1"/>
    <xf numFmtId="0" fontId="1" fillId="0" borderId="5" xfId="0" applyFont="1" applyBorder="1" applyAlignment="1">
      <alignment horizontal="right" vertical="center" wrapText="1"/>
    </xf>
    <xf numFmtId="0" fontId="2" fillId="0" borderId="0" xfId="0" applyFont="1" applyAlignment="1">
      <alignment wrapText="1"/>
    </xf>
    <xf numFmtId="166" fontId="4" fillId="0" borderId="0" xfId="0" applyNumberFormat="1" applyFont="1" applyAlignment="1">
      <alignment horizontal="right"/>
    </xf>
    <xf numFmtId="166" fontId="2" fillId="0" borderId="0" xfId="0" applyNumberFormat="1" applyFont="1" applyAlignment="1">
      <alignment horizontal="right"/>
    </xf>
    <xf numFmtId="0" fontId="10" fillId="0" borderId="0" xfId="0" applyFont="1"/>
    <xf numFmtId="166" fontId="4" fillId="0" borderId="6" xfId="0" applyNumberFormat="1" applyFont="1" applyBorder="1" applyAlignment="1">
      <alignment horizontal="right" vertical="center"/>
    </xf>
    <xf numFmtId="166" fontId="2" fillId="0" borderId="6" xfId="0" applyNumberFormat="1" applyFont="1" applyBorder="1" applyAlignment="1">
      <alignment horizontal="right" vertical="center"/>
    </xf>
    <xf numFmtId="0" fontId="11" fillId="0" borderId="0" xfId="0" applyFont="1" applyAlignment="1">
      <alignment vertical="center" wrapText="1"/>
    </xf>
    <xf numFmtId="0" fontId="4" fillId="0" borderId="0" xfId="0" applyFont="1" applyAlignment="1">
      <alignment vertical="center"/>
    </xf>
    <xf numFmtId="166" fontId="6" fillId="0" borderId="6" xfId="0" applyNumberFormat="1" applyFont="1" applyBorder="1" applyAlignment="1">
      <alignment horizontal="right" vertical="center"/>
    </xf>
    <xf numFmtId="166" fontId="2" fillId="0" borderId="7" xfId="0" applyNumberFormat="1" applyFont="1" applyBorder="1" applyAlignment="1">
      <alignment horizontal="right" vertical="center"/>
    </xf>
    <xf numFmtId="2" fontId="1" fillId="0" borderId="0" xfId="0" applyNumberFormat="1" applyFont="1" applyAlignment="1">
      <alignment horizontal="right" vertical="center"/>
    </xf>
    <xf numFmtId="2" fontId="2" fillId="0" borderId="0" xfId="0" applyNumberFormat="1" applyFont="1" applyAlignment="1">
      <alignment horizontal="right" vertical="center"/>
    </xf>
    <xf numFmtId="2" fontId="3" fillId="0" borderId="0" xfId="0" applyNumberFormat="1" applyFont="1" applyAlignment="1">
      <alignment horizontal="right" vertical="center"/>
    </xf>
    <xf numFmtId="0" fontId="1" fillId="0" borderId="5" xfId="0" applyFont="1" applyBorder="1" applyAlignment="1">
      <alignment horizontal="right" vertical="center"/>
    </xf>
    <xf numFmtId="0" fontId="12" fillId="2" borderId="0" xfId="0" applyFont="1" applyFill="1" applyAlignment="1">
      <alignment vertical="center" wrapText="1"/>
    </xf>
    <xf numFmtId="3" fontId="2" fillId="0" borderId="0" xfId="0" applyNumberFormat="1" applyFont="1" applyAlignment="1">
      <alignment vertical="center"/>
    </xf>
    <xf numFmtId="3" fontId="4" fillId="0" borderId="0" xfId="0" applyNumberFormat="1" applyFont="1" applyAlignment="1">
      <alignment vertical="center"/>
    </xf>
    <xf numFmtId="164" fontId="2" fillId="0" borderId="6" xfId="0" applyNumberFormat="1" applyFont="1" applyBorder="1" applyAlignment="1">
      <alignment horizontal="right" vertical="center"/>
    </xf>
    <xf numFmtId="0" fontId="11" fillId="0" borderId="0" xfId="0" applyFont="1" applyAlignment="1">
      <alignment vertical="center"/>
    </xf>
    <xf numFmtId="164" fontId="2" fillId="0" borderId="7" xfId="0" applyNumberFormat="1" applyFont="1" applyBorder="1" applyAlignment="1">
      <alignment horizontal="right" vertical="center"/>
    </xf>
    <xf numFmtId="0" fontId="12" fillId="2" borderId="0" xfId="0" applyFont="1" applyFill="1" applyAlignment="1">
      <alignment vertical="center"/>
    </xf>
    <xf numFmtId="3" fontId="6" fillId="0" borderId="0" xfId="0" applyNumberFormat="1" applyFont="1" applyAlignment="1">
      <alignment vertical="center"/>
    </xf>
    <xf numFmtId="0" fontId="11" fillId="2" borderId="8" xfId="0" applyFont="1" applyFill="1" applyBorder="1" applyAlignment="1">
      <alignment vertical="center"/>
    </xf>
    <xf numFmtId="164" fontId="2" fillId="2" borderId="9" xfId="0" applyNumberFormat="1" applyFont="1" applyFill="1" applyBorder="1" applyAlignment="1">
      <alignment horizontal="right" vertical="center"/>
    </xf>
    <xf numFmtId="169" fontId="2" fillId="2" borderId="9" xfId="0" applyNumberFormat="1" applyFont="1" applyFill="1" applyBorder="1" applyAlignment="1">
      <alignment horizontal="right" vertical="center"/>
    </xf>
    <xf numFmtId="0" fontId="1" fillId="2" borderId="0" xfId="0" applyFont="1" applyFill="1" applyAlignment="1">
      <alignment vertical="center"/>
    </xf>
    <xf numFmtId="166" fontId="2" fillId="0" borderId="10" xfId="0" applyNumberFormat="1" applyFont="1" applyBorder="1" applyAlignment="1">
      <alignment horizontal="right" vertical="center"/>
    </xf>
    <xf numFmtId="166" fontId="13" fillId="0" borderId="0" xfId="0" applyNumberFormat="1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6"/>
  <sheetViews>
    <sheetView showGridLines="0" tabSelected="1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baseColWidth="10" defaultColWidth="12.5703125" defaultRowHeight="15" customHeight="1" x14ac:dyDescent="0.25"/>
  <cols>
    <col min="1" max="1" width="63.28515625" bestFit="1" customWidth="1"/>
    <col min="2" max="2" width="6.85546875" bestFit="1" customWidth="1"/>
    <col min="3" max="3" width="8.42578125" bestFit="1" customWidth="1"/>
    <col min="4" max="9" width="6.85546875" bestFit="1" customWidth="1"/>
    <col min="10" max="11" width="11.42578125" customWidth="1"/>
    <col min="12" max="26" width="10.5703125" customWidth="1"/>
  </cols>
  <sheetData>
    <row r="1" spans="1:26" ht="11.25" customHeight="1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1.25" customHeight="1" x14ac:dyDescent="0.25">
      <c r="A2" s="3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1.25" customHeight="1" x14ac:dyDescent="0.25">
      <c r="A3" s="4" t="s">
        <v>2</v>
      </c>
      <c r="B3" s="5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1.25" customHeight="1" x14ac:dyDescent="0.25">
      <c r="A4" s="3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1.25" customHeight="1" x14ac:dyDescent="0.25">
      <c r="A5" s="6" t="s">
        <v>3</v>
      </c>
      <c r="B5" s="7" t="s">
        <v>4</v>
      </c>
      <c r="C5" s="8" t="s">
        <v>5</v>
      </c>
      <c r="D5" s="8" t="s">
        <v>6</v>
      </c>
      <c r="E5" s="8" t="s">
        <v>7</v>
      </c>
      <c r="F5" s="8" t="s">
        <v>8</v>
      </c>
      <c r="G5" s="8" t="s">
        <v>9</v>
      </c>
      <c r="H5" s="8" t="s">
        <v>10</v>
      </c>
      <c r="I5" s="9" t="s">
        <v>11</v>
      </c>
      <c r="J5" s="10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spans="1:26" ht="11.25" customHeight="1" x14ac:dyDescent="0.25">
      <c r="A6" s="3"/>
      <c r="B6" s="12"/>
      <c r="C6" s="12"/>
      <c r="D6" s="12"/>
      <c r="E6" s="12"/>
      <c r="F6" s="12"/>
      <c r="G6" s="12"/>
      <c r="H6" s="12"/>
      <c r="I6" s="12"/>
      <c r="J6" s="13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1.25" customHeight="1" x14ac:dyDescent="0.25">
      <c r="A7" s="1" t="s">
        <v>12</v>
      </c>
      <c r="B7" s="12"/>
      <c r="C7" s="12"/>
      <c r="D7" s="12"/>
      <c r="E7" s="12"/>
      <c r="F7" s="12"/>
      <c r="G7" s="12"/>
      <c r="H7" s="12"/>
      <c r="I7" s="12"/>
      <c r="J7" s="13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1.25" customHeight="1" x14ac:dyDescent="0.25">
      <c r="A8" s="1"/>
      <c r="B8" s="12"/>
      <c r="C8" s="12"/>
      <c r="D8" s="12"/>
      <c r="E8" s="12"/>
      <c r="F8" s="12"/>
      <c r="G8" s="12"/>
      <c r="H8" s="12"/>
      <c r="I8" s="12"/>
      <c r="J8" s="13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1.25" customHeight="1" x14ac:dyDescent="0.25">
      <c r="A9" s="1" t="s">
        <v>13</v>
      </c>
      <c r="B9" s="12"/>
      <c r="C9" s="12"/>
      <c r="D9" s="12"/>
      <c r="E9" s="12"/>
      <c r="F9" s="12"/>
      <c r="G9" s="12"/>
      <c r="H9" s="12"/>
      <c r="I9" s="12"/>
      <c r="J9" s="13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1.25" customHeight="1" x14ac:dyDescent="0.25">
      <c r="A10" s="3" t="s">
        <v>14</v>
      </c>
      <c r="B10" s="14">
        <v>0</v>
      </c>
      <c r="C10" s="14">
        <v>0</v>
      </c>
      <c r="D10" s="15">
        <f>(D11/C11) - 1</f>
        <v>-4.8968940285524232E-2</v>
      </c>
      <c r="E10" s="16">
        <v>0</v>
      </c>
      <c r="F10" s="17">
        <f t="shared" ref="F10:I10" si="0">E10</f>
        <v>0</v>
      </c>
      <c r="G10" s="17">
        <f t="shared" si="0"/>
        <v>0</v>
      </c>
      <c r="H10" s="17">
        <f t="shared" si="0"/>
        <v>0</v>
      </c>
      <c r="I10" s="17">
        <f t="shared" si="0"/>
        <v>0</v>
      </c>
      <c r="J10" s="18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1.25" customHeight="1" x14ac:dyDescent="0.25">
      <c r="A11" s="3" t="s">
        <v>15</v>
      </c>
      <c r="B11" s="14">
        <v>0</v>
      </c>
      <c r="C11" s="19">
        <v>19543</v>
      </c>
      <c r="D11" s="19">
        <v>18586</v>
      </c>
      <c r="E11" s="20">
        <f t="shared" ref="E11:I11" si="1">D11*(1+E10)</f>
        <v>18586</v>
      </c>
      <c r="F11" s="20">
        <f t="shared" si="1"/>
        <v>18586</v>
      </c>
      <c r="G11" s="20">
        <f t="shared" si="1"/>
        <v>18586</v>
      </c>
      <c r="H11" s="20">
        <f t="shared" si="1"/>
        <v>18586</v>
      </c>
      <c r="I11" s="20">
        <f t="shared" si="1"/>
        <v>18586</v>
      </c>
      <c r="J11" s="13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1.25" customHeight="1" x14ac:dyDescent="0.25">
      <c r="A12" s="3"/>
      <c r="B12" s="14"/>
      <c r="C12" s="14"/>
      <c r="D12" s="21"/>
      <c r="E12" s="22"/>
      <c r="F12" s="22"/>
      <c r="G12" s="22"/>
      <c r="H12" s="22"/>
      <c r="I12" s="22"/>
      <c r="J12" s="13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1.25" customHeight="1" x14ac:dyDescent="0.25">
      <c r="A13" s="1" t="s">
        <v>16</v>
      </c>
      <c r="B13" s="12"/>
      <c r="C13" s="12"/>
      <c r="D13" s="17"/>
      <c r="E13" s="17"/>
      <c r="F13" s="17"/>
      <c r="G13" s="17"/>
      <c r="H13" s="17"/>
      <c r="I13" s="17"/>
      <c r="J13" s="13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1.25" customHeight="1" x14ac:dyDescent="0.25">
      <c r="A14" s="3" t="s">
        <v>14</v>
      </c>
      <c r="B14" s="14">
        <v>0</v>
      </c>
      <c r="C14" s="14">
        <v>0</v>
      </c>
      <c r="D14" s="17">
        <f>(D15/C15) - 1</f>
        <v>1.1315417256010374E-3</v>
      </c>
      <c r="E14" s="17">
        <f t="shared" ref="E14:I14" si="2">D14</f>
        <v>1.1315417256010374E-3</v>
      </c>
      <c r="F14" s="17">
        <f t="shared" si="2"/>
        <v>1.1315417256010374E-3</v>
      </c>
      <c r="G14" s="17">
        <f t="shared" si="2"/>
        <v>1.1315417256010374E-3</v>
      </c>
      <c r="H14" s="17">
        <f t="shared" si="2"/>
        <v>1.1315417256010374E-3</v>
      </c>
      <c r="I14" s="17">
        <f t="shared" si="2"/>
        <v>1.1315417256010374E-3</v>
      </c>
      <c r="J14" s="13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1.25" customHeight="1" x14ac:dyDescent="0.25">
      <c r="A15" s="3" t="s">
        <v>17</v>
      </c>
      <c r="B15" s="14">
        <v>0</v>
      </c>
      <c r="C15" s="19">
        <v>3535</v>
      </c>
      <c r="D15" s="19">
        <v>3539</v>
      </c>
      <c r="E15" s="20">
        <f t="shared" ref="E15:I15" si="3">D15*(1+E14)</f>
        <v>3543.004526166902</v>
      </c>
      <c r="F15" s="20">
        <f t="shared" si="3"/>
        <v>3547.013583622253</v>
      </c>
      <c r="G15" s="20">
        <f t="shared" si="3"/>
        <v>3551.0271774933954</v>
      </c>
      <c r="H15" s="20">
        <f t="shared" si="3"/>
        <v>3555.0453129134726</v>
      </c>
      <c r="I15" s="20">
        <f t="shared" si="3"/>
        <v>3559.0679950214367</v>
      </c>
      <c r="J15" s="13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1.25" customHeight="1" x14ac:dyDescent="0.25">
      <c r="A16" s="3"/>
      <c r="B16" s="14"/>
      <c r="C16" s="21"/>
      <c r="D16" s="21"/>
      <c r="E16" s="22"/>
      <c r="F16" s="22"/>
      <c r="G16" s="22"/>
      <c r="H16" s="22"/>
      <c r="I16" s="22"/>
      <c r="J16" s="13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1.25" customHeight="1" x14ac:dyDescent="0.25">
      <c r="A17" s="1" t="s">
        <v>18</v>
      </c>
      <c r="B17" s="12"/>
      <c r="C17" s="12"/>
      <c r="D17" s="17"/>
      <c r="E17" s="17"/>
      <c r="F17" s="17"/>
      <c r="G17" s="17"/>
      <c r="H17" s="17"/>
      <c r="I17" s="17"/>
      <c r="J17" s="13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1.25" customHeight="1" x14ac:dyDescent="0.25">
      <c r="A18" s="3" t="s">
        <v>14</v>
      </c>
      <c r="B18" s="14">
        <v>0</v>
      </c>
      <c r="C18" s="14">
        <v>0</v>
      </c>
      <c r="D18" s="17">
        <f>(D19/C19) - 1</f>
        <v>1.7702312138728304E-2</v>
      </c>
      <c r="E18" s="17">
        <f t="shared" ref="E18:I18" si="4">D18</f>
        <v>1.7702312138728304E-2</v>
      </c>
      <c r="F18" s="17">
        <f t="shared" si="4"/>
        <v>1.7702312138728304E-2</v>
      </c>
      <c r="G18" s="17">
        <f t="shared" si="4"/>
        <v>1.7702312138728304E-2</v>
      </c>
      <c r="H18" s="17">
        <f t="shared" si="4"/>
        <v>1.7702312138728304E-2</v>
      </c>
      <c r="I18" s="17">
        <f t="shared" si="4"/>
        <v>1.7702312138728304E-2</v>
      </c>
      <c r="J18" s="23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1.25" customHeight="1" x14ac:dyDescent="0.25">
      <c r="A19" s="3" t="s">
        <v>19</v>
      </c>
      <c r="B19" s="14">
        <v>0</v>
      </c>
      <c r="C19" s="19">
        <v>2768</v>
      </c>
      <c r="D19" s="19">
        <v>2817</v>
      </c>
      <c r="E19" s="20">
        <f t="shared" ref="E19:I19" si="5">D19*(1+E18)</f>
        <v>2866.8674132947976</v>
      </c>
      <c r="F19" s="20">
        <f t="shared" si="5"/>
        <v>2917.6175951052905</v>
      </c>
      <c r="G19" s="20">
        <f t="shared" si="5"/>
        <v>2969.2661724752902</v>
      </c>
      <c r="H19" s="20">
        <f t="shared" si="5"/>
        <v>3021.8290490834147</v>
      </c>
      <c r="I19" s="20">
        <f t="shared" si="5"/>
        <v>3075.3224101401656</v>
      </c>
      <c r="J19" s="13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1.25" customHeight="1" x14ac:dyDescent="0.25">
      <c r="A20" s="3"/>
      <c r="B20" s="14"/>
      <c r="C20" s="21"/>
      <c r="D20" s="21"/>
      <c r="E20" s="22"/>
      <c r="F20" s="22"/>
      <c r="G20" s="22"/>
      <c r="H20" s="22"/>
      <c r="I20" s="22"/>
      <c r="J20" s="13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1.25" customHeight="1" x14ac:dyDescent="0.25">
      <c r="A21" s="1" t="s">
        <v>20</v>
      </c>
      <c r="B21" s="12"/>
      <c r="C21" s="12"/>
      <c r="D21" s="17"/>
      <c r="E21" s="17"/>
      <c r="F21" s="17"/>
      <c r="G21" s="17"/>
      <c r="H21" s="17"/>
      <c r="I21" s="17"/>
      <c r="J21" s="23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1.25" customHeight="1" x14ac:dyDescent="0.25">
      <c r="A22" s="3" t="s">
        <v>20</v>
      </c>
      <c r="B22" s="24">
        <f>'Income Statement'!B6</f>
        <v>26640</v>
      </c>
      <c r="C22" s="25">
        <f t="shared" ref="C22:I22" si="6">SUM(C11,C15,C19)</f>
        <v>25846</v>
      </c>
      <c r="D22" s="25">
        <f t="shared" si="6"/>
        <v>24942</v>
      </c>
      <c r="E22" s="25">
        <f t="shared" si="6"/>
        <v>24995.871939461696</v>
      </c>
      <c r="F22" s="25">
        <f t="shared" si="6"/>
        <v>25050.631178727544</v>
      </c>
      <c r="G22" s="25">
        <f t="shared" si="6"/>
        <v>25106.293349968684</v>
      </c>
      <c r="H22" s="25">
        <f t="shared" si="6"/>
        <v>25162.874361996888</v>
      </c>
      <c r="I22" s="25">
        <f t="shared" si="6"/>
        <v>25220.390405161601</v>
      </c>
      <c r="J22" s="13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1.25" customHeight="1" x14ac:dyDescent="0.25">
      <c r="A23" s="3"/>
      <c r="B23" s="12"/>
      <c r="C23" s="26"/>
      <c r="D23" s="26"/>
      <c r="E23" s="12"/>
      <c r="F23" s="12"/>
      <c r="G23" s="12"/>
      <c r="H23" s="12"/>
      <c r="I23" s="12"/>
      <c r="J23" s="13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1.25" customHeight="1" x14ac:dyDescent="0.25">
      <c r="A24" s="1" t="s">
        <v>21</v>
      </c>
      <c r="B24" s="12"/>
      <c r="C24" s="26"/>
      <c r="D24" s="26"/>
      <c r="E24" s="12"/>
      <c r="F24" s="12"/>
      <c r="G24" s="12"/>
      <c r="H24" s="12"/>
      <c r="I24" s="12"/>
      <c r="J24" s="13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1.25" customHeight="1" x14ac:dyDescent="0.25">
      <c r="A25" s="1"/>
      <c r="B25" s="12"/>
      <c r="C25" s="26"/>
      <c r="D25" s="26"/>
      <c r="E25" s="12"/>
      <c r="F25" s="12"/>
      <c r="G25" s="12"/>
      <c r="H25" s="12"/>
      <c r="I25" s="12"/>
      <c r="J25" s="13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1.25" customHeight="1" x14ac:dyDescent="0.25">
      <c r="A26" s="1" t="s">
        <v>13</v>
      </c>
      <c r="B26" s="12"/>
      <c r="C26" s="26"/>
      <c r="D26" s="26"/>
      <c r="E26" s="12"/>
      <c r="F26" s="12"/>
      <c r="G26" s="12"/>
      <c r="H26" s="12"/>
      <c r="I26" s="12"/>
      <c r="J26" s="13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1.25" customHeight="1" x14ac:dyDescent="0.25">
      <c r="A27" s="3" t="s">
        <v>22</v>
      </c>
      <c r="B27" s="14">
        <v>0</v>
      </c>
      <c r="C27" s="14">
        <v>0</v>
      </c>
      <c r="D27" s="14">
        <v>0</v>
      </c>
      <c r="E27" s="20">
        <f t="shared" ref="E27:I27" si="7">E11*E36</f>
        <v>12394.39251062465</v>
      </c>
      <c r="F27" s="20">
        <f t="shared" si="7"/>
        <v>12394.39251062465</v>
      </c>
      <c r="G27" s="20">
        <f t="shared" si="7"/>
        <v>12394.39251062465</v>
      </c>
      <c r="H27" s="20">
        <f t="shared" si="7"/>
        <v>12394.39251062465</v>
      </c>
      <c r="I27" s="20">
        <f t="shared" si="7"/>
        <v>12394.39251062465</v>
      </c>
      <c r="J27" s="13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1.25" customHeight="1" x14ac:dyDescent="0.25">
      <c r="A28" s="3"/>
      <c r="B28" s="14"/>
      <c r="C28" s="14"/>
      <c r="D28" s="14"/>
      <c r="E28" s="22"/>
      <c r="F28" s="22"/>
      <c r="G28" s="22"/>
      <c r="H28" s="22"/>
      <c r="I28" s="22"/>
      <c r="J28" s="13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1.25" customHeight="1" x14ac:dyDescent="0.25">
      <c r="A29" s="1" t="s">
        <v>16</v>
      </c>
      <c r="B29" s="14"/>
      <c r="C29" s="14"/>
      <c r="D29" s="14"/>
      <c r="E29" s="26"/>
      <c r="F29" s="26"/>
      <c r="G29" s="26"/>
      <c r="H29" s="26"/>
      <c r="I29" s="26"/>
      <c r="J29" s="13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1.25" customHeight="1" x14ac:dyDescent="0.25">
      <c r="A30" s="3" t="s">
        <v>23</v>
      </c>
      <c r="B30" s="14">
        <v>0</v>
      </c>
      <c r="C30" s="14">
        <v>0</v>
      </c>
      <c r="D30" s="14">
        <v>0</v>
      </c>
      <c r="E30" s="20">
        <f t="shared" ref="E30:I30" si="8">E15*E36</f>
        <v>2362.7132661267774</v>
      </c>
      <c r="F30" s="20">
        <f t="shared" si="8"/>
        <v>2365.386774773031</v>
      </c>
      <c r="G30" s="20">
        <f t="shared" si="8"/>
        <v>2368.0633086058715</v>
      </c>
      <c r="H30" s="20">
        <f t="shared" si="8"/>
        <v>2370.7428710484241</v>
      </c>
      <c r="I30" s="20">
        <f t="shared" si="8"/>
        <v>2373.4254655276864</v>
      </c>
      <c r="J30" s="13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1.25" customHeight="1" x14ac:dyDescent="0.25">
      <c r="A31" s="3"/>
      <c r="B31" s="14"/>
      <c r="C31" s="14"/>
      <c r="D31" s="14"/>
      <c r="E31" s="22"/>
      <c r="F31" s="22"/>
      <c r="G31" s="22"/>
      <c r="H31" s="22"/>
      <c r="I31" s="22"/>
      <c r="J31" s="13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1.25" customHeight="1" x14ac:dyDescent="0.25">
      <c r="A32" s="1" t="s">
        <v>18</v>
      </c>
      <c r="B32" s="14"/>
      <c r="C32" s="14"/>
      <c r="D32" s="14"/>
      <c r="E32" s="26"/>
      <c r="F32" s="26"/>
      <c r="G32" s="26"/>
      <c r="H32" s="26"/>
      <c r="I32" s="26"/>
      <c r="J32" s="13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1.25" customHeight="1" x14ac:dyDescent="0.25">
      <c r="A33" s="3" t="s">
        <v>24</v>
      </c>
      <c r="B33" s="14">
        <v>0</v>
      </c>
      <c r="C33" s="14">
        <v>0</v>
      </c>
      <c r="D33" s="14">
        <v>0</v>
      </c>
      <c r="E33" s="20">
        <f t="shared" ref="E33:I33" si="9">E19*E36</f>
        <v>1911.8196489989725</v>
      </c>
      <c r="F33" s="20">
        <f t="shared" si="9"/>
        <v>1945.6632771785062</v>
      </c>
      <c r="G33" s="20">
        <f t="shared" si="9"/>
        <v>1980.1060158279811</v>
      </c>
      <c r="H33" s="20">
        <f t="shared" si="9"/>
        <v>2015.1584705879416</v>
      </c>
      <c r="I33" s="20">
        <f t="shared" si="9"/>
        <v>2050.8314348432914</v>
      </c>
      <c r="J33" s="13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1.25" customHeight="1" x14ac:dyDescent="0.25">
      <c r="A34" s="3"/>
      <c r="B34" s="14"/>
      <c r="C34" s="14"/>
      <c r="D34" s="14"/>
      <c r="E34" s="22"/>
      <c r="F34" s="22"/>
      <c r="G34" s="22"/>
      <c r="H34" s="22"/>
      <c r="I34" s="22"/>
      <c r="J34" s="13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1.25" customHeight="1" x14ac:dyDescent="0.25">
      <c r="A35" s="1" t="s">
        <v>25</v>
      </c>
      <c r="B35" s="12"/>
      <c r="C35" s="26"/>
      <c r="D35" s="26"/>
      <c r="E35" s="26"/>
      <c r="F35" s="26"/>
      <c r="G35" s="26"/>
      <c r="H35" s="26"/>
      <c r="I35" s="26"/>
      <c r="J35" s="13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1.25" customHeight="1" x14ac:dyDescent="0.25">
      <c r="A36" s="3" t="s">
        <v>26</v>
      </c>
      <c r="B36" s="17">
        <f t="shared" ref="B36:D36" si="10">B37/B22</f>
        <v>0.66493993993993994</v>
      </c>
      <c r="C36" s="17">
        <f t="shared" si="10"/>
        <v>0.65302174417704872</v>
      </c>
      <c r="D36" s="17">
        <f t="shared" si="10"/>
        <v>0.66686713174564993</v>
      </c>
      <c r="E36" s="17">
        <f t="shared" ref="E36:I36" si="11">D36</f>
        <v>0.66686713174564993</v>
      </c>
      <c r="F36" s="17">
        <f t="shared" si="11"/>
        <v>0.66686713174564993</v>
      </c>
      <c r="G36" s="17">
        <f t="shared" si="11"/>
        <v>0.66686713174564993</v>
      </c>
      <c r="H36" s="17">
        <f t="shared" si="11"/>
        <v>0.66686713174564993</v>
      </c>
      <c r="I36" s="17">
        <f t="shared" si="11"/>
        <v>0.66686713174564993</v>
      </c>
      <c r="J36" s="13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1.25" customHeight="1" x14ac:dyDescent="0.25">
      <c r="A37" s="3" t="s">
        <v>27</v>
      </c>
      <c r="B37" s="24">
        <f>'Income Statement'!B7</f>
        <v>17714</v>
      </c>
      <c r="C37" s="27">
        <f>'Income Statement'!C7</f>
        <v>16878</v>
      </c>
      <c r="D37" s="27">
        <f>'Income Statement'!D7</f>
        <v>16633</v>
      </c>
      <c r="E37" s="20">
        <f t="shared" ref="E37:I37" si="12">SUM(E27,E30,E33)</f>
        <v>16668.9254257504</v>
      </c>
      <c r="F37" s="20">
        <f t="shared" si="12"/>
        <v>16705.442562576187</v>
      </c>
      <c r="G37" s="20">
        <f t="shared" si="12"/>
        <v>16742.561835058503</v>
      </c>
      <c r="H37" s="20">
        <f t="shared" si="12"/>
        <v>16780.293852261017</v>
      </c>
      <c r="I37" s="20">
        <f t="shared" si="12"/>
        <v>16818.649410995626</v>
      </c>
      <c r="J37" s="13"/>
      <c r="K37" s="28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1.25" customHeight="1" x14ac:dyDescent="0.25">
      <c r="A38" s="3"/>
      <c r="B38" s="12"/>
      <c r="C38" s="12"/>
      <c r="D38" s="12"/>
      <c r="E38" s="12"/>
      <c r="F38" s="12"/>
      <c r="G38" s="12"/>
      <c r="H38" s="12"/>
      <c r="I38" s="12"/>
      <c r="J38" s="13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1.25" customHeight="1" x14ac:dyDescent="0.25">
      <c r="A39" s="1" t="s">
        <v>28</v>
      </c>
      <c r="B39" s="12"/>
      <c r="C39" s="12"/>
      <c r="D39" s="12"/>
      <c r="E39" s="12"/>
      <c r="F39" s="12"/>
      <c r="G39" s="12"/>
      <c r="H39" s="12"/>
      <c r="I39" s="12"/>
      <c r="J39" s="13"/>
      <c r="K39" s="29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1.25" customHeight="1" x14ac:dyDescent="0.25">
      <c r="A40" s="1"/>
      <c r="B40" s="12"/>
      <c r="C40" s="12"/>
      <c r="D40" s="12"/>
      <c r="E40" s="12"/>
      <c r="F40" s="12"/>
      <c r="G40" s="12"/>
      <c r="H40" s="12"/>
      <c r="I40" s="12"/>
      <c r="J40" s="13"/>
      <c r="K40" s="29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1.25" customHeight="1" x14ac:dyDescent="0.25">
      <c r="A41" s="1" t="s">
        <v>29</v>
      </c>
      <c r="B41" s="12"/>
      <c r="C41" s="12"/>
      <c r="D41" s="12"/>
      <c r="E41" s="12"/>
      <c r="F41" s="12"/>
      <c r="G41" s="12"/>
      <c r="H41" s="12"/>
      <c r="I41" s="12"/>
      <c r="J41" s="13"/>
      <c r="K41" s="29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1.25" customHeight="1" x14ac:dyDescent="0.25">
      <c r="A42" s="3" t="s">
        <v>30</v>
      </c>
      <c r="B42" s="17">
        <f t="shared" ref="B42:D42" si="13">B43/B22</f>
        <v>0.13858858858858858</v>
      </c>
      <c r="C42" s="17">
        <f t="shared" si="13"/>
        <v>0.13990559467615879</v>
      </c>
      <c r="D42" s="17">
        <f t="shared" si="13"/>
        <v>0.14722155400529227</v>
      </c>
      <c r="E42" s="17">
        <f t="shared" ref="E42:I42" si="14">D42</f>
        <v>0.14722155400529227</v>
      </c>
      <c r="F42" s="17">
        <f t="shared" si="14"/>
        <v>0.14722155400529227</v>
      </c>
      <c r="G42" s="17">
        <f t="shared" si="14"/>
        <v>0.14722155400529227</v>
      </c>
      <c r="H42" s="17">
        <f t="shared" si="14"/>
        <v>0.14722155400529227</v>
      </c>
      <c r="I42" s="17">
        <f t="shared" si="14"/>
        <v>0.14722155400529227</v>
      </c>
      <c r="J42" s="13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1.25" customHeight="1" x14ac:dyDescent="0.25">
      <c r="A43" s="3" t="s">
        <v>31</v>
      </c>
      <c r="B43" s="24">
        <f>'Income Statement'!B9</f>
        <v>3692</v>
      </c>
      <c r="C43" s="27">
        <f>'Income Statement'!C9</f>
        <v>3616</v>
      </c>
      <c r="D43" s="27">
        <f>'Income Statement'!D9</f>
        <v>3672</v>
      </c>
      <c r="E43" s="20">
        <f t="shared" ref="E43:I43" si="15">E42*E22</f>
        <v>3679.9311106448299</v>
      </c>
      <c r="F43" s="20">
        <f t="shared" si="15"/>
        <v>3687.9928509456954</v>
      </c>
      <c r="G43" s="20">
        <f t="shared" si="15"/>
        <v>3696.1875222951248</v>
      </c>
      <c r="H43" s="20">
        <f t="shared" si="15"/>
        <v>3704.517466813109</v>
      </c>
      <c r="I43" s="20">
        <f t="shared" si="15"/>
        <v>3712.9850680680538</v>
      </c>
      <c r="J43" s="13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1.25" customHeight="1" x14ac:dyDescent="0.25">
      <c r="A44" s="3"/>
      <c r="B44" s="12"/>
      <c r="C44" s="12"/>
      <c r="D44" s="12"/>
      <c r="E44" s="12"/>
      <c r="F44" s="12"/>
      <c r="G44" s="12"/>
      <c r="H44" s="12"/>
      <c r="I44" s="12"/>
      <c r="J44" s="13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1.25" customHeight="1" x14ac:dyDescent="0.25">
      <c r="A45" s="1" t="s">
        <v>32</v>
      </c>
      <c r="B45" s="12"/>
      <c r="C45" s="12"/>
      <c r="D45" s="12"/>
      <c r="E45" s="12"/>
      <c r="F45" s="12"/>
      <c r="G45" s="12"/>
      <c r="H45" s="12"/>
      <c r="I45" s="12"/>
      <c r="J45" s="13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1.25" customHeight="1" x14ac:dyDescent="0.25">
      <c r="A46" s="1"/>
      <c r="B46" s="12"/>
      <c r="C46" s="12"/>
      <c r="D46" s="12"/>
      <c r="E46" s="12"/>
      <c r="F46" s="12"/>
      <c r="G46" s="12"/>
      <c r="H46" s="12"/>
      <c r="I46" s="12"/>
      <c r="J46" s="13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1.25" customHeight="1" x14ac:dyDescent="0.25">
      <c r="A47" s="1" t="s">
        <v>33</v>
      </c>
      <c r="B47" s="12"/>
      <c r="C47" s="12"/>
      <c r="D47" s="12"/>
      <c r="E47" s="12"/>
      <c r="F47" s="12"/>
      <c r="G47" s="12"/>
      <c r="H47" s="12"/>
      <c r="I47" s="12"/>
      <c r="J47" s="13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1.25" customHeight="1" x14ac:dyDescent="0.25">
      <c r="A48" s="3"/>
      <c r="B48" s="12"/>
      <c r="C48" s="12"/>
      <c r="D48" s="12"/>
      <c r="E48" s="12"/>
      <c r="F48" s="12"/>
      <c r="G48" s="12"/>
      <c r="H48" s="12"/>
      <c r="I48" s="12"/>
      <c r="J48" s="13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1.25" customHeight="1" x14ac:dyDescent="0.25">
      <c r="A49" s="1" t="s">
        <v>34</v>
      </c>
      <c r="B49" s="12"/>
      <c r="C49" s="12"/>
      <c r="D49" s="12"/>
      <c r="E49" s="12"/>
      <c r="F49" s="12"/>
      <c r="G49" s="12"/>
      <c r="H49" s="12"/>
      <c r="I49" s="12"/>
      <c r="J49" s="13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1.25" customHeight="1" x14ac:dyDescent="0.25">
      <c r="A50" s="3" t="s">
        <v>35</v>
      </c>
      <c r="B50" s="14">
        <v>0</v>
      </c>
      <c r="C50" s="27">
        <f>(C51/'Income Statement'!C6)*360</f>
        <v>29.904820862028938</v>
      </c>
      <c r="D50" s="27">
        <f>(D51/'Income Statement'!D6)*360</f>
        <v>32.533076738032236</v>
      </c>
      <c r="E50" s="20">
        <f t="shared" ref="E50:I50" si="16">D50</f>
        <v>32.533076738032236</v>
      </c>
      <c r="F50" s="20">
        <f t="shared" si="16"/>
        <v>32.533076738032236</v>
      </c>
      <c r="G50" s="20">
        <f t="shared" si="16"/>
        <v>32.533076738032236</v>
      </c>
      <c r="H50" s="20">
        <f t="shared" si="16"/>
        <v>32.533076738032236</v>
      </c>
      <c r="I50" s="20">
        <f t="shared" si="16"/>
        <v>32.533076738032236</v>
      </c>
      <c r="J50" s="13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1.25" customHeight="1" x14ac:dyDescent="0.25">
      <c r="A51" s="3" t="s">
        <v>34</v>
      </c>
      <c r="B51" s="14">
        <v>0</v>
      </c>
      <c r="C51" s="27">
        <f>'Balance Sheet'!C8</f>
        <v>2147</v>
      </c>
      <c r="D51" s="27">
        <f>'Balance Sheet'!D8</f>
        <v>2254</v>
      </c>
      <c r="E51" s="27">
        <f>(E50/360)*'Income Statement'!E6</f>
        <v>2258.8683887237057</v>
      </c>
      <c r="F51" s="27">
        <f>(F50/360)*'Income Statement'!F6</f>
        <v>2263.8169624269058</v>
      </c>
      <c r="G51" s="27">
        <f>(G50/360)*'Income Statement'!G6</f>
        <v>2268.8471337835545</v>
      </c>
      <c r="H51" s="27">
        <f>(H50/360)*'Income Statement'!H6</f>
        <v>2273.960340467524</v>
      </c>
      <c r="I51" s="27">
        <f>(I50/360)*'Income Statement'!I6</f>
        <v>2279.1580455951507</v>
      </c>
      <c r="J51" s="13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1.25" customHeight="1" x14ac:dyDescent="0.25">
      <c r="A52" s="3"/>
      <c r="B52" s="14"/>
      <c r="C52" s="12"/>
      <c r="D52" s="12"/>
      <c r="E52" s="12"/>
      <c r="F52" s="12"/>
      <c r="G52" s="12"/>
      <c r="H52" s="12"/>
      <c r="I52" s="12"/>
      <c r="J52" s="13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1.25" customHeight="1" x14ac:dyDescent="0.25">
      <c r="A53" s="1" t="s">
        <v>36</v>
      </c>
      <c r="B53" s="14"/>
      <c r="C53" s="12"/>
      <c r="D53" s="12"/>
      <c r="E53" s="12"/>
      <c r="F53" s="12"/>
      <c r="G53" s="12"/>
      <c r="H53" s="12"/>
      <c r="I53" s="12"/>
      <c r="J53" s="13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1.25" customHeight="1" x14ac:dyDescent="0.25">
      <c r="A54" s="3" t="s">
        <v>37</v>
      </c>
      <c r="B54" s="14">
        <v>0</v>
      </c>
      <c r="C54" s="27">
        <f>(C55/'Income Statement'!C7)*360</f>
        <v>72.008531816565949</v>
      </c>
      <c r="D54" s="27">
        <f>(D55/'Income Statement'!D7)*360</f>
        <v>68.545662237720194</v>
      </c>
      <c r="E54" s="20">
        <f t="shared" ref="E54:I54" si="17">D54</f>
        <v>68.545662237720194</v>
      </c>
      <c r="F54" s="20">
        <f t="shared" si="17"/>
        <v>68.545662237720194</v>
      </c>
      <c r="G54" s="20">
        <f t="shared" si="17"/>
        <v>68.545662237720194</v>
      </c>
      <c r="H54" s="20">
        <f t="shared" si="17"/>
        <v>68.545662237720194</v>
      </c>
      <c r="I54" s="20">
        <f t="shared" si="17"/>
        <v>68.545662237720194</v>
      </c>
      <c r="J54" s="13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1.25" customHeight="1" x14ac:dyDescent="0.25">
      <c r="A55" s="3" t="s">
        <v>36</v>
      </c>
      <c r="B55" s="14">
        <v>0</v>
      </c>
      <c r="C55" s="27">
        <f>'Balance Sheet'!C9</f>
        <v>3376</v>
      </c>
      <c r="D55" s="27">
        <f>'Balance Sheet'!D9</f>
        <v>3167</v>
      </c>
      <c r="E55" s="27">
        <f>(E54/360)*'Income Statement'!E7</f>
        <v>3173.8403669423142</v>
      </c>
      <c r="F55" s="27">
        <f>(F54/360)*'Income Statement'!F7</f>
        <v>3180.7933984055062</v>
      </c>
      <c r="G55" s="27">
        <f>(G54/360)*'Income Statement'!G7</f>
        <v>3187.8610792779582</v>
      </c>
      <c r="H55" s="27">
        <f>(H54/360)*'Income Statement'!H7</f>
        <v>3195.0454295743784</v>
      </c>
      <c r="I55" s="27">
        <f>(I54/360)*'Income Statement'!I7</f>
        <v>3202.3485050576051</v>
      </c>
      <c r="J55" s="13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1.25" customHeight="1" x14ac:dyDescent="0.25">
      <c r="A56" s="3"/>
      <c r="B56" s="14"/>
      <c r="C56" s="12"/>
      <c r="D56" s="12"/>
      <c r="E56" s="12"/>
      <c r="F56" s="12"/>
      <c r="G56" s="12"/>
      <c r="H56" s="12"/>
      <c r="I56" s="12"/>
      <c r="J56" s="13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1.25" customHeight="1" x14ac:dyDescent="0.25">
      <c r="A57" s="1" t="s">
        <v>38</v>
      </c>
      <c r="B57" s="14"/>
      <c r="C57" s="12"/>
      <c r="D57" s="12"/>
      <c r="E57" s="12"/>
      <c r="F57" s="12"/>
      <c r="G57" s="12"/>
      <c r="H57" s="12"/>
      <c r="I57" s="12"/>
      <c r="J57" s="13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1.25" customHeight="1" x14ac:dyDescent="0.25">
      <c r="A58" s="3" t="s">
        <v>39</v>
      </c>
      <c r="B58" s="14">
        <v>0</v>
      </c>
      <c r="C58" s="27">
        <f>(C59/'Income Statement'!C7)*360</f>
        <v>89.328119445431923</v>
      </c>
      <c r="D58" s="27">
        <f>(D59/'Income Statement'!D7)*360</f>
        <v>93.241147117176695</v>
      </c>
      <c r="E58" s="20">
        <f t="shared" ref="E58:I58" si="18">D58</f>
        <v>93.241147117176695</v>
      </c>
      <c r="F58" s="20">
        <f t="shared" si="18"/>
        <v>93.241147117176695</v>
      </c>
      <c r="G58" s="20">
        <f t="shared" si="18"/>
        <v>93.241147117176695</v>
      </c>
      <c r="H58" s="20">
        <f t="shared" si="18"/>
        <v>93.241147117176695</v>
      </c>
      <c r="I58" s="20">
        <f t="shared" si="18"/>
        <v>93.241147117176695</v>
      </c>
      <c r="J58" s="13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1.25" customHeight="1" x14ac:dyDescent="0.25">
      <c r="A59" s="3" t="s">
        <v>38</v>
      </c>
      <c r="B59" s="14">
        <v>0</v>
      </c>
      <c r="C59" s="27">
        <f>'Balance Sheet'!C23</f>
        <v>4188</v>
      </c>
      <c r="D59" s="27">
        <f>'Balance Sheet'!D23</f>
        <v>4308</v>
      </c>
      <c r="E59" s="27">
        <f>(E58/360)*'Income Statement'!E7</f>
        <v>4317.3047997434451</v>
      </c>
      <c r="F59" s="27">
        <f>(F58/360)*'Income Statement'!F7</f>
        <v>4326.7628545408652</v>
      </c>
      <c r="G59" s="27">
        <f>(G58/360)*'Income Statement'!G7</f>
        <v>4336.376864391993</v>
      </c>
      <c r="H59" s="27">
        <f>(H58/360)*'Income Statement'!H7</f>
        <v>4346.1495770781248</v>
      </c>
      <c r="I59" s="27">
        <f>(I58/360)*'Income Statement'!I7</f>
        <v>4356.0837890079447</v>
      </c>
      <c r="J59" s="13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1.25" customHeight="1" x14ac:dyDescent="0.25">
      <c r="A60" s="3"/>
      <c r="B60" s="14"/>
      <c r="C60" s="30"/>
      <c r="D60" s="30"/>
      <c r="E60" s="22"/>
      <c r="F60" s="22"/>
      <c r="G60" s="22"/>
      <c r="H60" s="22"/>
      <c r="I60" s="22"/>
      <c r="J60" s="13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1.25" customHeight="1" x14ac:dyDescent="0.25">
      <c r="A61" s="1" t="s">
        <v>40</v>
      </c>
      <c r="B61" s="14"/>
      <c r="C61" s="30"/>
      <c r="D61" s="30"/>
      <c r="E61" s="22"/>
      <c r="F61" s="22"/>
      <c r="G61" s="22"/>
      <c r="H61" s="22"/>
      <c r="I61" s="22"/>
      <c r="J61" s="13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1.25" customHeight="1" x14ac:dyDescent="0.25">
      <c r="A62" s="3"/>
      <c r="B62" s="14"/>
      <c r="C62" s="30"/>
      <c r="D62" s="30"/>
      <c r="E62" s="22"/>
      <c r="F62" s="22"/>
      <c r="G62" s="22"/>
      <c r="H62" s="22"/>
      <c r="I62" s="22"/>
      <c r="J62" s="13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1.25" customHeight="1" x14ac:dyDescent="0.25">
      <c r="A63" s="1" t="s">
        <v>41</v>
      </c>
      <c r="B63" s="14"/>
      <c r="C63" s="30"/>
      <c r="D63" s="30"/>
      <c r="E63" s="22"/>
      <c r="F63" s="22"/>
      <c r="G63" s="22"/>
      <c r="H63" s="22"/>
      <c r="I63" s="22"/>
      <c r="J63" s="13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1.25" customHeight="1" x14ac:dyDescent="0.25">
      <c r="A64" s="3" t="s">
        <v>42</v>
      </c>
      <c r="B64" s="14">
        <v>0</v>
      </c>
      <c r="C64" s="31">
        <f>'Balance Sheet'!C10/'Income Statement'!C6</f>
        <v>8.318501895844618E-3</v>
      </c>
      <c r="D64" s="31">
        <f>'Balance Sheet'!D10/'Income Statement'!D6</f>
        <v>1.1667067596824633E-2</v>
      </c>
      <c r="E64" s="17">
        <f>(D64+C64)/2</f>
        <v>9.9927847463346254E-3</v>
      </c>
      <c r="F64" s="17">
        <f t="shared" ref="F64:I64" si="19">E64</f>
        <v>9.9927847463346254E-3</v>
      </c>
      <c r="G64" s="17">
        <f t="shared" si="19"/>
        <v>9.9927847463346254E-3</v>
      </c>
      <c r="H64" s="17">
        <f t="shared" si="19"/>
        <v>9.9927847463346254E-3</v>
      </c>
      <c r="I64" s="17">
        <f t="shared" si="19"/>
        <v>9.9927847463346254E-3</v>
      </c>
      <c r="J64" s="13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1.25" customHeight="1" x14ac:dyDescent="0.25">
      <c r="A65" s="3"/>
      <c r="B65" s="14"/>
      <c r="C65" s="30"/>
      <c r="D65" s="30"/>
      <c r="E65" s="22"/>
      <c r="F65" s="22"/>
      <c r="G65" s="22"/>
      <c r="H65" s="22"/>
      <c r="I65" s="22"/>
      <c r="J65" s="13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1.25" customHeight="1" x14ac:dyDescent="0.25">
      <c r="A66" s="1" t="s">
        <v>43</v>
      </c>
      <c r="B66" s="14"/>
      <c r="C66" s="30"/>
      <c r="D66" s="30"/>
      <c r="E66" s="22"/>
      <c r="F66" s="22"/>
      <c r="G66" s="22"/>
      <c r="H66" s="22"/>
      <c r="I66" s="22"/>
      <c r="J66" s="13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1.25" customHeight="1" x14ac:dyDescent="0.25">
      <c r="A67" s="3" t="s">
        <v>44</v>
      </c>
      <c r="B67" s="14">
        <v>0</v>
      </c>
      <c r="C67" s="31">
        <f>'Balance Sheet'!C24/'Income Statement'!C6</f>
        <v>2.6967422425133482E-2</v>
      </c>
      <c r="D67" s="31">
        <f>'Balance Sheet'!D24/'Income Statement'!D6</f>
        <v>3.211450565311523E-2</v>
      </c>
      <c r="E67" s="17">
        <f>(D67+C67)/2</f>
        <v>2.9540964039124356E-2</v>
      </c>
      <c r="F67" s="17">
        <f t="shared" ref="F67:I67" si="20">E67</f>
        <v>2.9540964039124356E-2</v>
      </c>
      <c r="G67" s="17">
        <f t="shared" si="20"/>
        <v>2.9540964039124356E-2</v>
      </c>
      <c r="H67" s="17">
        <f t="shared" si="20"/>
        <v>2.9540964039124356E-2</v>
      </c>
      <c r="I67" s="17">
        <f t="shared" si="20"/>
        <v>2.9540964039124356E-2</v>
      </c>
      <c r="J67" s="13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1.25" customHeight="1" x14ac:dyDescent="0.25">
      <c r="A68" s="3"/>
      <c r="B68" s="12"/>
      <c r="C68" s="12"/>
      <c r="D68" s="12"/>
      <c r="E68" s="12"/>
      <c r="F68" s="12"/>
      <c r="G68" s="12"/>
      <c r="H68" s="12"/>
      <c r="I68" s="12"/>
      <c r="J68" s="13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1.25" customHeight="1" x14ac:dyDescent="0.25">
      <c r="A69" s="1" t="s">
        <v>45</v>
      </c>
      <c r="B69" s="12"/>
      <c r="C69" s="12"/>
      <c r="D69" s="12"/>
      <c r="E69" s="12"/>
      <c r="F69" s="12"/>
      <c r="G69" s="12"/>
      <c r="H69" s="12"/>
      <c r="I69" s="12"/>
      <c r="J69" s="13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1.25" customHeight="1" x14ac:dyDescent="0.25">
      <c r="A70" s="1"/>
      <c r="B70" s="12"/>
      <c r="C70" s="12"/>
      <c r="D70" s="12"/>
      <c r="E70" s="12"/>
      <c r="F70" s="12"/>
      <c r="G70" s="12"/>
      <c r="H70" s="12"/>
      <c r="I70" s="12"/>
      <c r="J70" s="13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1.25" customHeight="1" x14ac:dyDescent="0.25">
      <c r="A71" s="1" t="s">
        <v>46</v>
      </c>
      <c r="B71" s="12"/>
      <c r="C71" s="12"/>
      <c r="D71" s="12"/>
      <c r="E71" s="12"/>
      <c r="F71" s="12"/>
      <c r="G71" s="12"/>
      <c r="H71" s="12"/>
      <c r="I71" s="12"/>
      <c r="J71" s="13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1.25" customHeight="1" x14ac:dyDescent="0.25">
      <c r="A72" s="3" t="s">
        <v>47</v>
      </c>
      <c r="B72" s="31">
        <f>B73/'Income Statement'!B6</f>
        <v>3.8025525525525523E-2</v>
      </c>
      <c r="C72" s="31">
        <f>C73/'Income Statement'!C6</f>
        <v>3.9619283448115765E-2</v>
      </c>
      <c r="D72" s="31">
        <f>D73/'Income Statement'!D6</f>
        <v>3.211450565311523E-2</v>
      </c>
      <c r="E72" s="17">
        <f>(D72+C72+B72)/3</f>
        <v>3.6586438208918833E-2</v>
      </c>
      <c r="F72" s="17">
        <f t="shared" ref="F72:I72" si="21">E72</f>
        <v>3.6586438208918833E-2</v>
      </c>
      <c r="G72" s="17">
        <f t="shared" si="21"/>
        <v>3.6586438208918833E-2</v>
      </c>
      <c r="H72" s="17">
        <f t="shared" si="21"/>
        <v>3.6586438208918833E-2</v>
      </c>
      <c r="I72" s="17">
        <f t="shared" si="21"/>
        <v>3.6586438208918833E-2</v>
      </c>
      <c r="J72" s="13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1.25" customHeight="1" x14ac:dyDescent="0.25">
      <c r="A73" s="3" t="s">
        <v>46</v>
      </c>
      <c r="B73" s="27">
        <f>-'Cash Flow Statement'!B21</f>
        <v>1013</v>
      </c>
      <c r="C73" s="27">
        <f>-'Cash Flow Statement'!C21</f>
        <v>1024</v>
      </c>
      <c r="D73" s="27">
        <f>-'Cash Flow Statement'!D21</f>
        <v>801</v>
      </c>
      <c r="E73" s="27">
        <f>'Income Statement'!E6*E72</f>
        <v>914.50992419116346</v>
      </c>
      <c r="F73" s="27">
        <f>'Income Statement'!F6*F72</f>
        <v>916.51336971493083</v>
      </c>
      <c r="G73" s="27">
        <f>'Income Statement'!G6*G72</f>
        <v>918.54985030361911</v>
      </c>
      <c r="H73" s="27">
        <f>'Income Statement'!H6*H72</f>
        <v>920.61994800398702</v>
      </c>
      <c r="I73" s="27">
        <f>'Income Statement'!I6*I72</f>
        <v>922.72425516325427</v>
      </c>
      <c r="J73" s="13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1.25" customHeight="1" x14ac:dyDescent="0.25">
      <c r="A74" s="3"/>
      <c r="B74" s="32"/>
      <c r="C74" s="32"/>
      <c r="D74" s="32"/>
      <c r="E74" s="22"/>
      <c r="F74" s="22"/>
      <c r="G74" s="22"/>
      <c r="H74" s="22"/>
      <c r="I74" s="22"/>
      <c r="J74" s="13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1.25" customHeight="1" x14ac:dyDescent="0.25">
      <c r="A75" s="1" t="s">
        <v>48</v>
      </c>
      <c r="B75" s="12"/>
      <c r="C75" s="12"/>
      <c r="D75" s="12"/>
      <c r="E75" s="12"/>
      <c r="F75" s="12"/>
      <c r="G75" s="12"/>
      <c r="H75" s="12"/>
      <c r="I75" s="12"/>
      <c r="J75" s="13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1.25" customHeight="1" x14ac:dyDescent="0.25">
      <c r="A76" s="3" t="s">
        <v>49</v>
      </c>
      <c r="B76" s="31">
        <f>B77/'Income Statement'!B6</f>
        <v>3.6073573573573575E-2</v>
      </c>
      <c r="C76" s="31">
        <f>C77/'Income Statement'!C6</f>
        <v>3.6678789754700923E-2</v>
      </c>
      <c r="D76" s="31">
        <f>D77/'Income Statement'!D6</f>
        <v>3.8810039291155479E-2</v>
      </c>
      <c r="E76" s="17">
        <f>(D76+C76+B76)/3</f>
        <v>3.7187467539809997E-2</v>
      </c>
      <c r="F76" s="17">
        <f t="shared" ref="F76:I76" si="22">E76</f>
        <v>3.7187467539809997E-2</v>
      </c>
      <c r="G76" s="17">
        <f t="shared" si="22"/>
        <v>3.7187467539809997E-2</v>
      </c>
      <c r="H76" s="17">
        <f t="shared" si="22"/>
        <v>3.7187467539809997E-2</v>
      </c>
      <c r="I76" s="17">
        <f t="shared" si="22"/>
        <v>3.7187467539809997E-2</v>
      </c>
      <c r="J76" s="13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1.25" customHeight="1" x14ac:dyDescent="0.25">
      <c r="A77" s="3" t="s">
        <v>48</v>
      </c>
      <c r="B77" s="27">
        <f>'Cash Flow Statement'!B9</f>
        <v>961</v>
      </c>
      <c r="C77" s="27">
        <f>'Cash Flow Statement'!C9</f>
        <v>948</v>
      </c>
      <c r="D77" s="27">
        <f>'Cash Flow Statement'!D9</f>
        <v>968</v>
      </c>
      <c r="E77" s="27">
        <f>'Income Statement'!E6*E76</f>
        <v>929.53317637797943</v>
      </c>
      <c r="F77" s="27">
        <f>'Income Statement'!F6*F76</f>
        <v>931.56953381068286</v>
      </c>
      <c r="G77" s="27">
        <f>'Income Statement'!G6*G76</f>
        <v>933.63946899690802</v>
      </c>
      <c r="H77" s="27">
        <f>'Income Statement'!H6*H76</f>
        <v>935.74357354507652</v>
      </c>
      <c r="I77" s="27">
        <f>'Income Statement'!I6*I76</f>
        <v>937.88244953328251</v>
      </c>
      <c r="J77" s="13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1.25" customHeight="1" x14ac:dyDescent="0.25">
      <c r="A78" s="3"/>
      <c r="B78" s="12"/>
      <c r="C78" s="12"/>
      <c r="D78" s="12"/>
      <c r="E78" s="12"/>
      <c r="F78" s="12"/>
      <c r="G78" s="12"/>
      <c r="H78" s="12"/>
      <c r="I78" s="12"/>
      <c r="J78" s="13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1.25" customHeight="1" x14ac:dyDescent="0.25">
      <c r="A79" s="1" t="s">
        <v>50</v>
      </c>
      <c r="B79" s="12"/>
      <c r="C79" s="12"/>
      <c r="D79" s="12"/>
      <c r="E79" s="33"/>
      <c r="F79" s="12"/>
      <c r="G79" s="12"/>
      <c r="H79" s="12"/>
      <c r="I79" s="12"/>
      <c r="J79" s="13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1.25" customHeight="1" x14ac:dyDescent="0.25">
      <c r="A80" s="3" t="s">
        <v>51</v>
      </c>
      <c r="B80" s="14">
        <v>0</v>
      </c>
      <c r="C80" s="14">
        <v>0</v>
      </c>
      <c r="D80" s="14">
        <v>0</v>
      </c>
      <c r="E80" s="20">
        <f t="shared" ref="E80:I80" si="23">D83</f>
        <v>7318</v>
      </c>
      <c r="F80" s="20">
        <f t="shared" si="23"/>
        <v>7302.9767478131835</v>
      </c>
      <c r="G80" s="20">
        <f t="shared" si="23"/>
        <v>7287.9205837174313</v>
      </c>
      <c r="H80" s="20">
        <f t="shared" si="23"/>
        <v>7272.8309650241417</v>
      </c>
      <c r="I80" s="20">
        <f t="shared" si="23"/>
        <v>7257.7073394830531</v>
      </c>
      <c r="J80" s="13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1.25" customHeight="1" x14ac:dyDescent="0.25">
      <c r="A81" s="3" t="s">
        <v>52</v>
      </c>
      <c r="B81" s="14">
        <v>0</v>
      </c>
      <c r="C81" s="14">
        <v>0</v>
      </c>
      <c r="D81" s="14">
        <v>0</v>
      </c>
      <c r="E81" s="20">
        <f t="shared" ref="E81:I81" si="24">E73</f>
        <v>914.50992419116346</v>
      </c>
      <c r="F81" s="20">
        <f t="shared" si="24"/>
        <v>916.51336971493083</v>
      </c>
      <c r="G81" s="20">
        <f t="shared" si="24"/>
        <v>918.54985030361911</v>
      </c>
      <c r="H81" s="20">
        <f t="shared" si="24"/>
        <v>920.61994800398702</v>
      </c>
      <c r="I81" s="20">
        <f t="shared" si="24"/>
        <v>922.72425516325427</v>
      </c>
      <c r="J81" s="13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1.25" customHeight="1" x14ac:dyDescent="0.25">
      <c r="A82" s="3" t="s">
        <v>53</v>
      </c>
      <c r="B82" s="14">
        <v>0</v>
      </c>
      <c r="C82" s="14">
        <v>0</v>
      </c>
      <c r="D82" s="14">
        <v>0</v>
      </c>
      <c r="E82" s="20">
        <f t="shared" ref="E82:I82" si="25">-E77</f>
        <v>-929.53317637797943</v>
      </c>
      <c r="F82" s="20">
        <f t="shared" si="25"/>
        <v>-931.56953381068286</v>
      </c>
      <c r="G82" s="20">
        <f t="shared" si="25"/>
        <v>-933.63946899690802</v>
      </c>
      <c r="H82" s="20">
        <f t="shared" si="25"/>
        <v>-935.74357354507652</v>
      </c>
      <c r="I82" s="20">
        <f t="shared" si="25"/>
        <v>-937.88244953328251</v>
      </c>
      <c r="J82" s="34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</row>
    <row r="83" spans="1:26" ht="11.25" customHeight="1" x14ac:dyDescent="0.25">
      <c r="A83" s="3" t="s">
        <v>54</v>
      </c>
      <c r="B83" s="36">
        <v>0</v>
      </c>
      <c r="C83" s="37">
        <f>'Balance Sheet'!C15</f>
        <v>7152</v>
      </c>
      <c r="D83" s="37">
        <f>'Balance Sheet'!D15</f>
        <v>7318</v>
      </c>
      <c r="E83" s="38">
        <f t="shared" ref="E83:I83" si="26">SUM(E80:E82)</f>
        <v>7302.9767478131835</v>
      </c>
      <c r="F83" s="38">
        <f t="shared" si="26"/>
        <v>7287.9205837174313</v>
      </c>
      <c r="G83" s="38">
        <f t="shared" si="26"/>
        <v>7272.8309650241417</v>
      </c>
      <c r="H83" s="38">
        <f t="shared" si="26"/>
        <v>7257.7073394830531</v>
      </c>
      <c r="I83" s="38">
        <f t="shared" si="26"/>
        <v>7242.5491451130247</v>
      </c>
      <c r="J83" s="13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1.25" customHeight="1" x14ac:dyDescent="0.25">
      <c r="A84" s="3"/>
      <c r="B84" s="12"/>
      <c r="C84" s="12"/>
      <c r="D84" s="12"/>
      <c r="E84" s="12"/>
      <c r="F84" s="12"/>
      <c r="G84" s="12"/>
      <c r="H84" s="12"/>
      <c r="I84" s="12"/>
      <c r="J84" s="13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1.25" customHeight="1" x14ac:dyDescent="0.25">
      <c r="A85" s="1" t="s">
        <v>55</v>
      </c>
      <c r="B85" s="12"/>
      <c r="C85" s="12"/>
      <c r="D85" s="12"/>
      <c r="E85" s="12"/>
      <c r="F85" s="12"/>
      <c r="G85" s="12"/>
      <c r="H85" s="12"/>
      <c r="I85" s="12"/>
      <c r="J85" s="13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1.25" customHeight="1" x14ac:dyDescent="0.25">
      <c r="A86" s="1"/>
      <c r="B86" s="12"/>
      <c r="C86" s="12"/>
      <c r="D86" s="12"/>
      <c r="E86" s="12"/>
      <c r="F86" s="12"/>
      <c r="G86" s="12"/>
      <c r="H86" s="12"/>
      <c r="I86" s="12"/>
      <c r="J86" s="13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1.25" customHeight="1" x14ac:dyDescent="0.25">
      <c r="A87" s="1" t="s">
        <v>56</v>
      </c>
      <c r="B87" s="12"/>
      <c r="C87" s="12"/>
      <c r="D87" s="12"/>
      <c r="E87" s="12"/>
      <c r="F87" s="12"/>
      <c r="G87" s="12"/>
      <c r="H87" s="12"/>
      <c r="I87" s="12"/>
      <c r="J87" s="39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1.25" customHeight="1" x14ac:dyDescent="0.25">
      <c r="A88" s="3" t="s">
        <v>57</v>
      </c>
      <c r="B88" s="14">
        <v>0</v>
      </c>
      <c r="C88" s="14">
        <v>0</v>
      </c>
      <c r="D88" s="20">
        <f t="shared" ref="D88:I88" si="27">C92</f>
        <v>19869</v>
      </c>
      <c r="E88" s="20">
        <f t="shared" si="27"/>
        <v>21219</v>
      </c>
      <c r="F88" s="20">
        <f t="shared" si="27"/>
        <v>21219</v>
      </c>
      <c r="G88" s="20">
        <f t="shared" si="27"/>
        <v>21219</v>
      </c>
      <c r="H88" s="20">
        <f t="shared" si="27"/>
        <v>21219</v>
      </c>
      <c r="I88" s="20">
        <f t="shared" si="27"/>
        <v>21219</v>
      </c>
      <c r="J88" s="13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1.25" customHeight="1" x14ac:dyDescent="0.25">
      <c r="A89" s="3" t="s">
        <v>58</v>
      </c>
      <c r="B89" s="14">
        <v>0</v>
      </c>
      <c r="C89" s="14">
        <v>0</v>
      </c>
      <c r="D89" s="27">
        <f>'Cash Flow Statement'!D27</f>
        <v>1620</v>
      </c>
      <c r="E89" s="19">
        <v>1900</v>
      </c>
      <c r="F89" s="19">
        <v>0</v>
      </c>
      <c r="G89" s="20">
        <f t="shared" ref="G89:I89" si="28">F89</f>
        <v>0</v>
      </c>
      <c r="H89" s="20">
        <f t="shared" si="28"/>
        <v>0</v>
      </c>
      <c r="I89" s="20">
        <f t="shared" si="28"/>
        <v>0</v>
      </c>
      <c r="J89" s="13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1.25" customHeight="1" x14ac:dyDescent="0.25">
      <c r="A90" s="3" t="s">
        <v>59</v>
      </c>
      <c r="B90" s="14">
        <v>0</v>
      </c>
      <c r="C90" s="14">
        <v>0</v>
      </c>
      <c r="D90" s="27">
        <f>'Cash Flow Statement'!D26</f>
        <v>-678</v>
      </c>
      <c r="E90" s="19">
        <v>-1900</v>
      </c>
      <c r="F90" s="19">
        <v>0</v>
      </c>
      <c r="G90" s="20">
        <f t="shared" ref="G90:I90" si="29">F90</f>
        <v>0</v>
      </c>
      <c r="H90" s="20">
        <f t="shared" si="29"/>
        <v>0</v>
      </c>
      <c r="I90" s="20">
        <f t="shared" si="29"/>
        <v>0</v>
      </c>
      <c r="J90" s="13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1.25" customHeight="1" x14ac:dyDescent="0.25">
      <c r="A91" s="3" t="s">
        <v>60</v>
      </c>
      <c r="B91" s="14">
        <v>0</v>
      </c>
      <c r="C91" s="14">
        <v>0</v>
      </c>
      <c r="D91" s="20">
        <f>D92-SUM(D88:D90)</f>
        <v>408</v>
      </c>
      <c r="E91" s="19">
        <v>0</v>
      </c>
      <c r="F91" s="20">
        <f t="shared" ref="F91:I91" si="30">E91</f>
        <v>0</v>
      </c>
      <c r="G91" s="20">
        <f t="shared" si="30"/>
        <v>0</v>
      </c>
      <c r="H91" s="20">
        <f t="shared" si="30"/>
        <v>0</v>
      </c>
      <c r="I91" s="20">
        <f t="shared" si="30"/>
        <v>0</v>
      </c>
      <c r="J91" s="13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1.25" customHeight="1" x14ac:dyDescent="0.25">
      <c r="A92" s="3" t="s">
        <v>61</v>
      </c>
      <c r="B92" s="36">
        <v>0</v>
      </c>
      <c r="C92" s="37">
        <f>'Balance Sheet'!C29+'Balance Sheet'!C22</f>
        <v>19869</v>
      </c>
      <c r="D92" s="37">
        <f>'Balance Sheet'!D29+'Balance Sheet'!D22</f>
        <v>21219</v>
      </c>
      <c r="E92" s="38">
        <f t="shared" ref="E92:I92" si="31">SUM(E88:E91)</f>
        <v>21219</v>
      </c>
      <c r="F92" s="38">
        <f t="shared" si="31"/>
        <v>21219</v>
      </c>
      <c r="G92" s="38">
        <f t="shared" si="31"/>
        <v>21219</v>
      </c>
      <c r="H92" s="38">
        <f t="shared" si="31"/>
        <v>21219</v>
      </c>
      <c r="I92" s="38">
        <f t="shared" si="31"/>
        <v>21219</v>
      </c>
      <c r="J92" s="13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1.25" customHeight="1" x14ac:dyDescent="0.25">
      <c r="A93" s="40"/>
      <c r="B93" s="14"/>
      <c r="C93" s="12"/>
      <c r="D93" s="12"/>
      <c r="E93" s="12"/>
      <c r="F93" s="12"/>
      <c r="G93" s="12"/>
      <c r="H93" s="12"/>
      <c r="I93" s="12"/>
      <c r="J93" s="13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1.25" customHeight="1" x14ac:dyDescent="0.25">
      <c r="A94" s="3" t="s">
        <v>62</v>
      </c>
      <c r="B94" s="14">
        <v>0</v>
      </c>
      <c r="C94" s="31">
        <f>'Balance Sheet'!C22/C92</f>
        <v>3.2915597161407219E-2</v>
      </c>
      <c r="D94" s="31">
        <f>'Balance Sheet'!D22/D92</f>
        <v>8.9919411847872194E-2</v>
      </c>
      <c r="E94" s="17">
        <f t="shared" ref="E94:I94" si="32">D94</f>
        <v>8.9919411847872194E-2</v>
      </c>
      <c r="F94" s="17">
        <f t="shared" si="32"/>
        <v>8.9919411847872194E-2</v>
      </c>
      <c r="G94" s="17">
        <f t="shared" si="32"/>
        <v>8.9919411847872194E-2</v>
      </c>
      <c r="H94" s="17">
        <f t="shared" si="32"/>
        <v>8.9919411847872194E-2</v>
      </c>
      <c r="I94" s="17">
        <f t="shared" si="32"/>
        <v>8.9919411847872194E-2</v>
      </c>
      <c r="J94" s="13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1.25" customHeight="1" x14ac:dyDescent="0.25">
      <c r="A95" s="3" t="s">
        <v>63</v>
      </c>
      <c r="B95" s="14">
        <v>0</v>
      </c>
      <c r="C95" s="41">
        <f t="shared" ref="C95:I95" si="33">C92*C94</f>
        <v>654</v>
      </c>
      <c r="D95" s="41">
        <f t="shared" si="33"/>
        <v>1908</v>
      </c>
      <c r="E95" s="41">
        <f t="shared" si="33"/>
        <v>1908</v>
      </c>
      <c r="F95" s="41">
        <f t="shared" si="33"/>
        <v>1908</v>
      </c>
      <c r="G95" s="41">
        <f t="shared" si="33"/>
        <v>1908</v>
      </c>
      <c r="H95" s="41">
        <f t="shared" si="33"/>
        <v>1908</v>
      </c>
      <c r="I95" s="41">
        <f t="shared" si="33"/>
        <v>1908</v>
      </c>
      <c r="J95" s="13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1.25" customHeight="1" x14ac:dyDescent="0.25">
      <c r="A96" s="3" t="s">
        <v>64</v>
      </c>
      <c r="B96" s="14">
        <v>0</v>
      </c>
      <c r="C96" s="41">
        <f t="shared" ref="C96:I96" si="34">C92-C95</f>
        <v>19215</v>
      </c>
      <c r="D96" s="41">
        <f t="shared" si="34"/>
        <v>19311</v>
      </c>
      <c r="E96" s="41">
        <f t="shared" si="34"/>
        <v>19311</v>
      </c>
      <c r="F96" s="41">
        <f t="shared" si="34"/>
        <v>19311</v>
      </c>
      <c r="G96" s="41">
        <f t="shared" si="34"/>
        <v>19311</v>
      </c>
      <c r="H96" s="41">
        <f t="shared" si="34"/>
        <v>19311</v>
      </c>
      <c r="I96" s="41">
        <f t="shared" si="34"/>
        <v>19311</v>
      </c>
      <c r="J96" s="13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1.25" customHeight="1" x14ac:dyDescent="0.25">
      <c r="A97" s="40"/>
      <c r="B97" s="14"/>
      <c r="C97" s="12"/>
      <c r="D97" s="12"/>
      <c r="E97" s="12"/>
      <c r="F97" s="12"/>
      <c r="G97" s="12"/>
      <c r="H97" s="12"/>
      <c r="I97" s="12"/>
      <c r="J97" s="13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1.25" customHeight="1" x14ac:dyDescent="0.25">
      <c r="A98" s="1" t="s">
        <v>65</v>
      </c>
      <c r="B98" s="14"/>
      <c r="C98" s="12"/>
      <c r="D98" s="12"/>
      <c r="E98" s="12"/>
      <c r="F98" s="12"/>
      <c r="G98" s="12"/>
      <c r="H98" s="12"/>
      <c r="I98" s="12"/>
      <c r="J98" s="13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1.25" customHeight="1" x14ac:dyDescent="0.25">
      <c r="A99" s="3" t="s">
        <v>66</v>
      </c>
      <c r="B99" s="14">
        <v>0</v>
      </c>
      <c r="C99" s="14">
        <v>0</v>
      </c>
      <c r="D99" s="20">
        <f t="shared" ref="D99:I99" si="35">(D88+D92)/2</f>
        <v>20544</v>
      </c>
      <c r="E99" s="20">
        <f t="shared" si="35"/>
        <v>21219</v>
      </c>
      <c r="F99" s="20">
        <f t="shared" si="35"/>
        <v>21219</v>
      </c>
      <c r="G99" s="20">
        <f t="shared" si="35"/>
        <v>21219</v>
      </c>
      <c r="H99" s="20">
        <f t="shared" si="35"/>
        <v>21219</v>
      </c>
      <c r="I99" s="20">
        <f t="shared" si="35"/>
        <v>21219</v>
      </c>
      <c r="J99" s="13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1.25" customHeight="1" x14ac:dyDescent="0.25">
      <c r="A100" s="3" t="s">
        <v>67</v>
      </c>
      <c r="B100" s="14">
        <v>0</v>
      </c>
      <c r="C100" s="14">
        <v>0</v>
      </c>
      <c r="D100" s="17">
        <f>D101/D99</f>
        <v>4.6096183800623053E-2</v>
      </c>
      <c r="E100" s="17">
        <f t="shared" ref="E100:I100" si="36">D100</f>
        <v>4.6096183800623053E-2</v>
      </c>
      <c r="F100" s="17">
        <f t="shared" si="36"/>
        <v>4.6096183800623053E-2</v>
      </c>
      <c r="G100" s="17">
        <f t="shared" si="36"/>
        <v>4.6096183800623053E-2</v>
      </c>
      <c r="H100" s="17">
        <f t="shared" si="36"/>
        <v>4.6096183800623053E-2</v>
      </c>
      <c r="I100" s="17">
        <f t="shared" si="36"/>
        <v>4.6096183800623053E-2</v>
      </c>
      <c r="J100" s="13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1.25" customHeight="1" x14ac:dyDescent="0.25">
      <c r="A101" s="3" t="s">
        <v>68</v>
      </c>
      <c r="B101" s="14">
        <v>0</v>
      </c>
      <c r="C101" s="27">
        <f>'Income Statement'!C14</f>
        <v>912</v>
      </c>
      <c r="D101" s="27">
        <f>'Income Statement'!D14</f>
        <v>947</v>
      </c>
      <c r="E101" s="20">
        <f t="shared" ref="E101:I101" si="37">E99*E100</f>
        <v>978.11492406542061</v>
      </c>
      <c r="F101" s="20">
        <f t="shared" si="37"/>
        <v>978.11492406542061</v>
      </c>
      <c r="G101" s="20">
        <f t="shared" si="37"/>
        <v>978.11492406542061</v>
      </c>
      <c r="H101" s="20">
        <f t="shared" si="37"/>
        <v>978.11492406542061</v>
      </c>
      <c r="I101" s="20">
        <f t="shared" si="37"/>
        <v>978.11492406542061</v>
      </c>
      <c r="J101" s="13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1.25" customHeight="1" x14ac:dyDescent="0.25">
      <c r="A102" s="3"/>
      <c r="B102" s="14"/>
      <c r="C102" s="30"/>
      <c r="D102" s="30"/>
      <c r="E102" s="22"/>
      <c r="F102" s="22"/>
      <c r="G102" s="22"/>
      <c r="H102" s="22"/>
      <c r="I102" s="22"/>
      <c r="J102" s="13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1.25" customHeight="1" x14ac:dyDescent="0.25">
      <c r="A103" s="1" t="s">
        <v>69</v>
      </c>
      <c r="B103" s="14"/>
      <c r="C103" s="30"/>
      <c r="D103" s="30"/>
      <c r="E103" s="22"/>
      <c r="F103" s="22"/>
      <c r="G103" s="22"/>
      <c r="H103" s="22"/>
      <c r="I103" s="22"/>
      <c r="J103" s="13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1.25" customHeight="1" x14ac:dyDescent="0.25">
      <c r="A104" s="3" t="s">
        <v>70</v>
      </c>
      <c r="B104" s="14">
        <v>0</v>
      </c>
      <c r="C104" s="31">
        <f>'Balance Sheet'!C25/'Income Statement'!C14</f>
        <v>0.28837719298245612</v>
      </c>
      <c r="D104" s="31">
        <f>'Balance Sheet'!D25/'Income Statement'!D14</f>
        <v>0.3146779303062302</v>
      </c>
      <c r="E104" s="17">
        <f>(D104+C104)/2</f>
        <v>0.30152756164434313</v>
      </c>
      <c r="F104" s="17">
        <f t="shared" ref="F104:I104" si="38">E104</f>
        <v>0.30152756164434313</v>
      </c>
      <c r="G104" s="17">
        <f t="shared" si="38"/>
        <v>0.30152756164434313</v>
      </c>
      <c r="H104" s="17">
        <f t="shared" si="38"/>
        <v>0.30152756164434313</v>
      </c>
      <c r="I104" s="17">
        <f t="shared" si="38"/>
        <v>0.30152756164434313</v>
      </c>
      <c r="J104" s="13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1.25" customHeight="1" x14ac:dyDescent="0.25">
      <c r="A105" s="3"/>
      <c r="B105" s="14"/>
      <c r="C105" s="12"/>
      <c r="D105" s="12"/>
      <c r="E105" s="12"/>
      <c r="F105" s="12"/>
      <c r="G105" s="12"/>
      <c r="H105" s="12"/>
      <c r="I105" s="12"/>
      <c r="J105" s="13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1.25" customHeight="1" x14ac:dyDescent="0.25">
      <c r="A106" s="1" t="s">
        <v>71</v>
      </c>
      <c r="B106" s="12"/>
      <c r="C106" s="12"/>
      <c r="D106" s="12"/>
      <c r="E106" s="12"/>
      <c r="F106" s="12"/>
      <c r="G106" s="12"/>
      <c r="H106" s="12"/>
      <c r="I106" s="12"/>
      <c r="J106" s="13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1.25" customHeight="1" x14ac:dyDescent="0.25">
      <c r="A107" s="1"/>
      <c r="B107" s="12"/>
      <c r="C107" s="12"/>
      <c r="D107" s="12"/>
      <c r="E107" s="12"/>
      <c r="F107" s="12"/>
      <c r="G107" s="12"/>
      <c r="H107" s="12"/>
      <c r="I107" s="12"/>
      <c r="J107" s="13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1.25" customHeight="1" x14ac:dyDescent="0.25">
      <c r="A108" s="1" t="s">
        <v>72</v>
      </c>
      <c r="B108" s="12"/>
      <c r="C108" s="12"/>
      <c r="D108" s="12"/>
      <c r="E108" s="12"/>
      <c r="F108" s="12"/>
      <c r="G108" s="12"/>
      <c r="H108" s="12"/>
      <c r="I108" s="12"/>
      <c r="J108" s="13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1.25" customHeight="1" x14ac:dyDescent="0.25">
      <c r="A109" s="3" t="s">
        <v>73</v>
      </c>
      <c r="B109" s="31">
        <f>'Income Statement'!B17/'Income Statement'!B16</f>
        <v>0.21662537847508945</v>
      </c>
      <c r="C109" s="42">
        <f>'Income Statement'!C17/'Income Statement'!C16</f>
        <v>-2.207943925233645</v>
      </c>
      <c r="D109" s="42">
        <f>'Income Statement'!D17/'Income Statement'!D16</f>
        <v>-7.4012855831037644E-2</v>
      </c>
      <c r="E109" s="16">
        <v>0.21</v>
      </c>
      <c r="F109" s="17">
        <f t="shared" ref="F109:I109" si="39">E109</f>
        <v>0.21</v>
      </c>
      <c r="G109" s="17">
        <f t="shared" si="39"/>
        <v>0.21</v>
      </c>
      <c r="H109" s="17">
        <f t="shared" si="39"/>
        <v>0.21</v>
      </c>
      <c r="I109" s="17">
        <f t="shared" si="39"/>
        <v>0.21</v>
      </c>
      <c r="J109" s="13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1.25" customHeight="1" x14ac:dyDescent="0.25">
      <c r="A110" s="3"/>
      <c r="B110" s="17"/>
      <c r="C110" s="15"/>
      <c r="D110" s="15"/>
      <c r="E110" s="43"/>
      <c r="F110" s="17"/>
      <c r="G110" s="17"/>
      <c r="H110" s="17"/>
      <c r="I110" s="17"/>
      <c r="J110" s="13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1.25" customHeight="1" x14ac:dyDescent="0.25">
      <c r="A111" s="1" t="s">
        <v>74</v>
      </c>
      <c r="B111" s="17"/>
      <c r="C111" s="15"/>
      <c r="D111" s="15"/>
      <c r="E111" s="43"/>
      <c r="F111" s="17"/>
      <c r="G111" s="17"/>
      <c r="H111" s="17"/>
      <c r="I111" s="17"/>
      <c r="J111" s="13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1.25" customHeight="1" x14ac:dyDescent="0.25">
      <c r="A112" s="1"/>
      <c r="B112" s="17"/>
      <c r="C112" s="15"/>
      <c r="D112" s="15"/>
      <c r="E112" s="43"/>
      <c r="F112" s="17"/>
      <c r="G112" s="17"/>
      <c r="H112" s="17"/>
      <c r="I112" s="17"/>
      <c r="J112" s="13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1.25" customHeight="1" x14ac:dyDescent="0.25">
      <c r="A113" s="1" t="s">
        <v>75</v>
      </c>
      <c r="B113" s="12"/>
      <c r="C113" s="12"/>
      <c r="D113" s="12"/>
      <c r="E113" s="12"/>
      <c r="F113" s="12"/>
      <c r="G113" s="12"/>
      <c r="H113" s="12"/>
      <c r="I113" s="12"/>
      <c r="J113" s="13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1.25" customHeight="1" x14ac:dyDescent="0.25">
      <c r="A114" s="3" t="s">
        <v>75</v>
      </c>
      <c r="B114" s="14">
        <v>0</v>
      </c>
      <c r="C114" s="19">
        <v>-1940</v>
      </c>
      <c r="D114" s="19">
        <v>-1906</v>
      </c>
      <c r="E114" s="14">
        <v>0</v>
      </c>
      <c r="F114" s="14">
        <v>0</v>
      </c>
      <c r="G114" s="14">
        <v>0</v>
      </c>
      <c r="H114" s="14">
        <v>0</v>
      </c>
      <c r="I114" s="14">
        <v>0</v>
      </c>
      <c r="J114" s="13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1.25" customHeight="1" x14ac:dyDescent="0.25">
      <c r="A115" s="3"/>
      <c r="B115" s="12"/>
      <c r="C115" s="22"/>
      <c r="D115" s="22"/>
      <c r="E115" s="22"/>
      <c r="F115" s="22"/>
      <c r="G115" s="22"/>
      <c r="H115" s="22"/>
      <c r="I115" s="22"/>
      <c r="J115" s="13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1.25" customHeight="1" x14ac:dyDescent="0.25">
      <c r="A116" s="44" t="s">
        <v>76</v>
      </c>
      <c r="B116" s="12"/>
      <c r="C116" s="22"/>
      <c r="D116" s="22"/>
      <c r="E116" s="22"/>
      <c r="F116" s="22"/>
      <c r="G116" s="22"/>
      <c r="H116" s="22"/>
      <c r="I116" s="22"/>
      <c r="J116" s="13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1.25" customHeight="1" x14ac:dyDescent="0.25">
      <c r="A117" s="45" t="s">
        <v>77</v>
      </c>
      <c r="B117" s="14">
        <v>0</v>
      </c>
      <c r="C117" s="14">
        <v>0</v>
      </c>
      <c r="D117" s="20">
        <f t="shared" ref="D117:I117" si="40">C120</f>
        <v>2171</v>
      </c>
      <c r="E117" s="20">
        <f t="shared" si="40"/>
        <v>-4629</v>
      </c>
      <c r="F117" s="20">
        <f t="shared" si="40"/>
        <v>-3636.5686215891728</v>
      </c>
      <c r="G117" s="20">
        <f t="shared" si="40"/>
        <v>-2636.0947570883814</v>
      </c>
      <c r="H117" s="20">
        <f t="shared" si="40"/>
        <v>-1627.4457929341688</v>
      </c>
      <c r="I117" s="20">
        <f t="shared" si="40"/>
        <v>-610.48677903686894</v>
      </c>
      <c r="J117" s="13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1.25" customHeight="1" x14ac:dyDescent="0.25">
      <c r="A118" s="45" t="s">
        <v>78</v>
      </c>
      <c r="B118" s="14">
        <v>0</v>
      </c>
      <c r="C118" s="14">
        <v>0</v>
      </c>
      <c r="D118" s="27">
        <f>'Income Statement'!D20</f>
        <v>-5846</v>
      </c>
      <c r="E118" s="27">
        <f>'Income Statement'!E20</f>
        <v>2898.4313784108272</v>
      </c>
      <c r="F118" s="27">
        <f>'Income Statement'!F20</f>
        <v>2906.4738645007915</v>
      </c>
      <c r="G118" s="27">
        <f>'Income Statement'!G20</f>
        <v>2914.6489641542125</v>
      </c>
      <c r="H118" s="27">
        <f>'Income Statement'!H20</f>
        <v>2922.9590138972999</v>
      </c>
      <c r="I118" s="27">
        <f>'Income Statement'!I20</f>
        <v>2931.4063916056757</v>
      </c>
      <c r="J118" s="13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1.25" customHeight="1" x14ac:dyDescent="0.25">
      <c r="A119" s="45" t="s">
        <v>79</v>
      </c>
      <c r="B119" s="14">
        <v>0</v>
      </c>
      <c r="C119" s="14">
        <v>0</v>
      </c>
      <c r="D119" s="20">
        <f>D120-SUM(D117:D118)</f>
        <v>-954</v>
      </c>
      <c r="E119" s="20">
        <f>D114</f>
        <v>-1906</v>
      </c>
      <c r="F119" s="20">
        <f t="shared" ref="F119:I119" si="41">E119</f>
        <v>-1906</v>
      </c>
      <c r="G119" s="20">
        <f t="shared" si="41"/>
        <v>-1906</v>
      </c>
      <c r="H119" s="20">
        <f t="shared" si="41"/>
        <v>-1906</v>
      </c>
      <c r="I119" s="20">
        <f t="shared" si="41"/>
        <v>-1906</v>
      </c>
      <c r="J119" s="13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1.25" customHeight="1" x14ac:dyDescent="0.25">
      <c r="A120" s="45" t="s">
        <v>80</v>
      </c>
      <c r="B120" s="36">
        <v>0</v>
      </c>
      <c r="C120" s="37">
        <f>'Balance Sheet'!C40</f>
        <v>2171</v>
      </c>
      <c r="D120" s="37">
        <f>'Balance Sheet'!D40</f>
        <v>-4629</v>
      </c>
      <c r="E120" s="38">
        <f t="shared" ref="E120:I120" si="42">SUM(E117:E119)</f>
        <v>-3636.5686215891728</v>
      </c>
      <c r="F120" s="38">
        <f t="shared" si="42"/>
        <v>-2636.0947570883814</v>
      </c>
      <c r="G120" s="38">
        <f t="shared" si="42"/>
        <v>-1627.4457929341688</v>
      </c>
      <c r="H120" s="38">
        <f t="shared" si="42"/>
        <v>-610.48677903686894</v>
      </c>
      <c r="I120" s="38">
        <f t="shared" si="42"/>
        <v>414.91961256880677</v>
      </c>
      <c r="J120" s="13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1.25" customHeight="1" x14ac:dyDescent="0.25">
      <c r="A121" s="3"/>
      <c r="B121" s="22"/>
      <c r="C121" s="22"/>
      <c r="D121" s="22"/>
      <c r="E121" s="22"/>
      <c r="F121" s="22"/>
      <c r="G121" s="22"/>
      <c r="H121" s="22"/>
      <c r="I121" s="22"/>
      <c r="J121" s="13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1.25" customHeight="1" x14ac:dyDescent="0.25">
      <c r="A122" s="1" t="s">
        <v>81</v>
      </c>
      <c r="B122" s="22"/>
      <c r="C122" s="22"/>
      <c r="D122" s="22"/>
      <c r="E122" s="22"/>
      <c r="F122" s="22"/>
      <c r="G122" s="22"/>
      <c r="H122" s="22"/>
      <c r="I122" s="22"/>
      <c r="J122" s="13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1.25" customHeight="1" x14ac:dyDescent="0.25">
      <c r="A123" s="3"/>
      <c r="B123" s="22"/>
      <c r="C123" s="22"/>
      <c r="D123" s="22"/>
      <c r="E123" s="22"/>
      <c r="F123" s="22"/>
      <c r="G123" s="22"/>
      <c r="H123" s="22"/>
      <c r="I123" s="22"/>
      <c r="J123" s="13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1.25" customHeight="1" x14ac:dyDescent="0.25">
      <c r="A124" s="1" t="s">
        <v>82</v>
      </c>
      <c r="B124" s="22"/>
      <c r="C124" s="22"/>
      <c r="D124" s="22"/>
      <c r="E124" s="22"/>
      <c r="F124" s="22"/>
      <c r="G124" s="22"/>
      <c r="H124" s="22"/>
      <c r="I124" s="22"/>
      <c r="J124" s="46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1.25" customHeight="1" x14ac:dyDescent="0.25">
      <c r="A125" s="3" t="s">
        <v>83</v>
      </c>
      <c r="B125" s="19">
        <v>-54</v>
      </c>
      <c r="C125" s="19">
        <v>-54</v>
      </c>
      <c r="D125" s="19">
        <v>-52</v>
      </c>
      <c r="E125" s="19">
        <v>0</v>
      </c>
      <c r="F125" s="20">
        <f t="shared" ref="F125:I125" si="43">E125</f>
        <v>0</v>
      </c>
      <c r="G125" s="20">
        <f t="shared" si="43"/>
        <v>0</v>
      </c>
      <c r="H125" s="20">
        <f t="shared" si="43"/>
        <v>0</v>
      </c>
      <c r="I125" s="20">
        <f t="shared" si="43"/>
        <v>0</v>
      </c>
      <c r="J125" s="46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1.25" customHeight="1" x14ac:dyDescent="0.25">
      <c r="A126" s="3" t="s">
        <v>84</v>
      </c>
      <c r="B126" s="19">
        <v>141</v>
      </c>
      <c r="C126" s="19">
        <v>109</v>
      </c>
      <c r="D126" s="19">
        <v>95</v>
      </c>
      <c r="E126" s="19">
        <v>0</v>
      </c>
      <c r="F126" s="20">
        <f t="shared" ref="F126:I126" si="44">E126</f>
        <v>0</v>
      </c>
      <c r="G126" s="20">
        <f t="shared" si="44"/>
        <v>0</v>
      </c>
      <c r="H126" s="20">
        <f t="shared" si="44"/>
        <v>0</v>
      </c>
      <c r="I126" s="20">
        <f t="shared" si="44"/>
        <v>0</v>
      </c>
      <c r="J126" s="46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1.25" customHeight="1" x14ac:dyDescent="0.25">
      <c r="A127" s="3" t="s">
        <v>85</v>
      </c>
      <c r="B127" s="19">
        <v>17</v>
      </c>
      <c r="C127" s="19">
        <v>-2857</v>
      </c>
      <c r="D127" s="19">
        <v>-495</v>
      </c>
      <c r="E127" s="19">
        <v>0</v>
      </c>
      <c r="F127" s="20">
        <f t="shared" ref="F127:I127" si="45">E127</f>
        <v>0</v>
      </c>
      <c r="G127" s="20">
        <f t="shared" si="45"/>
        <v>0</v>
      </c>
      <c r="H127" s="20">
        <f t="shared" si="45"/>
        <v>0</v>
      </c>
      <c r="I127" s="20">
        <f t="shared" si="45"/>
        <v>0</v>
      </c>
      <c r="J127" s="46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1.25" customHeight="1" x14ac:dyDescent="0.25">
      <c r="A128" s="3" t="s">
        <v>86</v>
      </c>
      <c r="B128" s="19">
        <v>-22</v>
      </c>
      <c r="C128" s="19">
        <v>161</v>
      </c>
      <c r="D128" s="19">
        <v>185</v>
      </c>
      <c r="E128" s="19">
        <v>0</v>
      </c>
      <c r="F128" s="20">
        <f t="shared" ref="F128:I128" si="46">E128</f>
        <v>0</v>
      </c>
      <c r="G128" s="20">
        <f t="shared" si="46"/>
        <v>0</v>
      </c>
      <c r="H128" s="20">
        <f t="shared" si="46"/>
        <v>0</v>
      </c>
      <c r="I128" s="20">
        <f t="shared" si="46"/>
        <v>0</v>
      </c>
      <c r="J128" s="46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1.25" customHeight="1" x14ac:dyDescent="0.25">
      <c r="A129" s="3" t="s">
        <v>87</v>
      </c>
      <c r="B129" s="19">
        <v>662</v>
      </c>
      <c r="C129" s="19">
        <v>3669</v>
      </c>
      <c r="D129" s="19">
        <v>9306</v>
      </c>
      <c r="E129" s="19">
        <v>0</v>
      </c>
      <c r="F129" s="20">
        <f t="shared" ref="F129:I129" si="47">E129</f>
        <v>0</v>
      </c>
      <c r="G129" s="20">
        <f t="shared" si="47"/>
        <v>0</v>
      </c>
      <c r="H129" s="20">
        <f t="shared" si="47"/>
        <v>0</v>
      </c>
      <c r="I129" s="20">
        <f t="shared" si="47"/>
        <v>0</v>
      </c>
      <c r="J129" s="46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1.25" customHeight="1" x14ac:dyDescent="0.25">
      <c r="A130" s="3" t="s">
        <v>88</v>
      </c>
      <c r="B130" s="19">
        <v>28</v>
      </c>
      <c r="C130" s="19">
        <v>16</v>
      </c>
      <c r="D130" s="19">
        <v>34</v>
      </c>
      <c r="E130" s="19">
        <v>0</v>
      </c>
      <c r="F130" s="20">
        <f t="shared" ref="F130:I130" si="48">E130</f>
        <v>0</v>
      </c>
      <c r="G130" s="20">
        <f t="shared" si="48"/>
        <v>0</v>
      </c>
      <c r="H130" s="20">
        <f t="shared" si="48"/>
        <v>0</v>
      </c>
      <c r="I130" s="20">
        <f t="shared" si="48"/>
        <v>0</v>
      </c>
      <c r="J130" s="46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1.25" customHeight="1" x14ac:dyDescent="0.25">
      <c r="A131" s="3" t="s">
        <v>89</v>
      </c>
      <c r="B131" s="19">
        <v>-4</v>
      </c>
      <c r="C131" s="19">
        <v>81</v>
      </c>
      <c r="D131" s="19">
        <v>42</v>
      </c>
      <c r="E131" s="19">
        <v>0</v>
      </c>
      <c r="F131" s="20">
        <f t="shared" ref="F131:I131" si="49">E131</f>
        <v>0</v>
      </c>
      <c r="G131" s="20">
        <f t="shared" si="49"/>
        <v>0</v>
      </c>
      <c r="H131" s="20">
        <f t="shared" si="49"/>
        <v>0</v>
      </c>
      <c r="I131" s="20">
        <f t="shared" si="49"/>
        <v>0</v>
      </c>
      <c r="J131" s="46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1.25" customHeight="1" x14ac:dyDescent="0.25">
      <c r="A132" s="3" t="s">
        <v>90</v>
      </c>
      <c r="B132" s="19">
        <v>207</v>
      </c>
      <c r="C132" s="19">
        <v>-46</v>
      </c>
      <c r="D132" s="19">
        <v>-3</v>
      </c>
      <c r="E132" s="19">
        <v>0</v>
      </c>
      <c r="F132" s="20">
        <f t="shared" ref="F132:I132" si="50">E132</f>
        <v>0</v>
      </c>
      <c r="G132" s="20">
        <f t="shared" si="50"/>
        <v>0</v>
      </c>
      <c r="H132" s="20">
        <f t="shared" si="50"/>
        <v>0</v>
      </c>
      <c r="I132" s="20">
        <f t="shared" si="50"/>
        <v>0</v>
      </c>
      <c r="J132" s="46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1.25" customHeight="1" x14ac:dyDescent="0.25">
      <c r="A133" s="3"/>
      <c r="B133" s="47"/>
      <c r="C133" s="47"/>
      <c r="D133" s="47"/>
      <c r="E133" s="20"/>
      <c r="F133" s="20"/>
      <c r="G133" s="20"/>
      <c r="H133" s="20"/>
      <c r="I133" s="20"/>
      <c r="J133" s="46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1.25" customHeight="1" x14ac:dyDescent="0.25">
      <c r="A134" s="1" t="s">
        <v>91</v>
      </c>
      <c r="B134" s="47"/>
      <c r="C134" s="47"/>
      <c r="D134" s="47"/>
      <c r="E134" s="20"/>
      <c r="F134" s="20"/>
      <c r="G134" s="20"/>
      <c r="H134" s="20"/>
      <c r="I134" s="20"/>
      <c r="J134" s="46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1.25" customHeight="1" x14ac:dyDescent="0.25">
      <c r="A135" s="3" t="s">
        <v>92</v>
      </c>
      <c r="B135" s="19">
        <v>139</v>
      </c>
      <c r="C135" s="19">
        <v>-38</v>
      </c>
      <c r="D135" s="19">
        <v>-88</v>
      </c>
      <c r="E135" s="19">
        <v>0</v>
      </c>
      <c r="F135" s="20">
        <f t="shared" ref="F135:I135" si="51">E135</f>
        <v>0</v>
      </c>
      <c r="G135" s="20">
        <f t="shared" si="51"/>
        <v>0</v>
      </c>
      <c r="H135" s="20">
        <f t="shared" si="51"/>
        <v>0</v>
      </c>
      <c r="I135" s="20">
        <f t="shared" si="51"/>
        <v>0</v>
      </c>
      <c r="J135" s="46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1.25" customHeight="1" x14ac:dyDescent="0.25">
      <c r="A136" s="3" t="s">
        <v>93</v>
      </c>
      <c r="B136" s="19">
        <v>-562</v>
      </c>
      <c r="C136" s="19">
        <v>-98</v>
      </c>
      <c r="D136" s="19">
        <v>337</v>
      </c>
      <c r="E136" s="19">
        <v>0</v>
      </c>
      <c r="F136" s="20">
        <f t="shared" ref="F136:I136" si="52">E136</f>
        <v>0</v>
      </c>
      <c r="G136" s="20">
        <f t="shared" si="52"/>
        <v>0</v>
      </c>
      <c r="H136" s="20">
        <f t="shared" si="52"/>
        <v>0</v>
      </c>
      <c r="I136" s="20">
        <f t="shared" si="52"/>
        <v>0</v>
      </c>
      <c r="J136" s="46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1.25" customHeight="1" x14ac:dyDescent="0.25">
      <c r="A137" s="3"/>
      <c r="B137" s="47"/>
      <c r="C137" s="47"/>
      <c r="D137" s="47"/>
      <c r="E137" s="20"/>
      <c r="F137" s="20"/>
      <c r="G137" s="20"/>
      <c r="H137" s="20"/>
      <c r="I137" s="20"/>
      <c r="J137" s="46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1.25" customHeight="1" x14ac:dyDescent="0.25">
      <c r="A138" s="1" t="s">
        <v>94</v>
      </c>
      <c r="B138" s="47"/>
      <c r="C138" s="47"/>
      <c r="D138" s="47"/>
      <c r="E138" s="20"/>
      <c r="F138" s="20"/>
      <c r="G138" s="20"/>
      <c r="H138" s="20"/>
      <c r="I138" s="20"/>
      <c r="J138" s="48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1.25" customHeight="1" x14ac:dyDescent="0.25">
      <c r="A139" s="3" t="s">
        <v>95</v>
      </c>
      <c r="B139" s="14">
        <v>0</v>
      </c>
      <c r="C139" s="19">
        <v>-140</v>
      </c>
      <c r="D139" s="14">
        <v>0</v>
      </c>
      <c r="E139" s="19">
        <v>0</v>
      </c>
      <c r="F139" s="20">
        <f t="shared" ref="F139:I139" si="53">E139</f>
        <v>0</v>
      </c>
      <c r="G139" s="20">
        <f t="shared" si="53"/>
        <v>0</v>
      </c>
      <c r="H139" s="20">
        <f t="shared" si="53"/>
        <v>0</v>
      </c>
      <c r="I139" s="20">
        <f t="shared" si="53"/>
        <v>0</v>
      </c>
      <c r="J139" s="48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1.25" customHeight="1" x14ac:dyDescent="0.25">
      <c r="A140" s="3" t="s">
        <v>96</v>
      </c>
      <c r="B140" s="14">
        <v>0</v>
      </c>
      <c r="C140" s="14">
        <v>0</v>
      </c>
      <c r="D140" s="19">
        <v>-1724</v>
      </c>
      <c r="E140" s="19">
        <v>0</v>
      </c>
      <c r="F140" s="20">
        <f t="shared" ref="F140:I140" si="54">E140</f>
        <v>0</v>
      </c>
      <c r="G140" s="20">
        <f t="shared" si="54"/>
        <v>0</v>
      </c>
      <c r="H140" s="20">
        <f t="shared" si="54"/>
        <v>0</v>
      </c>
      <c r="I140" s="20">
        <f t="shared" si="54"/>
        <v>0</v>
      </c>
      <c r="J140" s="48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1.25" customHeight="1" x14ac:dyDescent="0.25">
      <c r="A141" s="3" t="s">
        <v>97</v>
      </c>
      <c r="B141" s="14">
        <v>0</v>
      </c>
      <c r="C141" s="14">
        <v>0</v>
      </c>
      <c r="D141" s="19">
        <v>686</v>
      </c>
      <c r="E141" s="19">
        <v>0</v>
      </c>
      <c r="F141" s="20">
        <f t="shared" ref="F141:I141" si="55">E141</f>
        <v>0</v>
      </c>
      <c r="G141" s="20">
        <f t="shared" si="55"/>
        <v>0</v>
      </c>
      <c r="H141" s="20">
        <f t="shared" si="55"/>
        <v>0</v>
      </c>
      <c r="I141" s="20">
        <f t="shared" si="55"/>
        <v>0</v>
      </c>
      <c r="J141" s="48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1.25" customHeight="1" x14ac:dyDescent="0.25">
      <c r="A142" s="3" t="s">
        <v>98</v>
      </c>
      <c r="B142" s="14">
        <v>0</v>
      </c>
      <c r="C142" s="19">
        <v>8</v>
      </c>
      <c r="D142" s="19">
        <v>9</v>
      </c>
      <c r="E142" s="19">
        <v>0</v>
      </c>
      <c r="F142" s="20">
        <f t="shared" ref="F142:I142" si="56">E142</f>
        <v>0</v>
      </c>
      <c r="G142" s="20">
        <f t="shared" si="56"/>
        <v>0</v>
      </c>
      <c r="H142" s="20">
        <f t="shared" si="56"/>
        <v>0</v>
      </c>
      <c r="I142" s="20">
        <f t="shared" si="56"/>
        <v>0</v>
      </c>
      <c r="J142" s="48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1.25" customHeight="1" x14ac:dyDescent="0.25">
      <c r="A143" s="3" t="s">
        <v>99</v>
      </c>
      <c r="B143" s="19">
        <v>97</v>
      </c>
      <c r="C143" s="19">
        <v>133</v>
      </c>
      <c r="D143" s="19">
        <v>-3</v>
      </c>
      <c r="E143" s="19">
        <v>0</v>
      </c>
      <c r="F143" s="20">
        <f t="shared" ref="F143:I143" si="57">E143</f>
        <v>0</v>
      </c>
      <c r="G143" s="20">
        <f t="shared" si="57"/>
        <v>0</v>
      </c>
      <c r="H143" s="20">
        <f t="shared" si="57"/>
        <v>0</v>
      </c>
      <c r="I143" s="20">
        <f t="shared" si="57"/>
        <v>0</v>
      </c>
      <c r="J143" s="48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1.25" customHeight="1" x14ac:dyDescent="0.25">
      <c r="A144" s="3"/>
      <c r="B144" s="47"/>
      <c r="C144" s="47"/>
      <c r="D144" s="47"/>
      <c r="E144" s="20"/>
      <c r="F144" s="20"/>
      <c r="G144" s="20"/>
      <c r="H144" s="20"/>
      <c r="I144" s="20"/>
      <c r="J144" s="48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1.25" customHeight="1" x14ac:dyDescent="0.25">
      <c r="A145" s="1" t="s">
        <v>100</v>
      </c>
      <c r="B145" s="47"/>
      <c r="C145" s="47"/>
      <c r="D145" s="47"/>
      <c r="E145" s="20"/>
      <c r="F145" s="20"/>
      <c r="G145" s="20"/>
      <c r="H145" s="20"/>
      <c r="I145" s="20"/>
      <c r="J145" s="48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1.25" customHeight="1" x14ac:dyDescent="0.25">
      <c r="A146" s="3" t="s">
        <v>101</v>
      </c>
      <c r="B146" s="19">
        <v>-455</v>
      </c>
      <c r="C146" s="19">
        <v>-988</v>
      </c>
      <c r="D146" s="19">
        <v>-436</v>
      </c>
      <c r="E146" s="19">
        <v>0</v>
      </c>
      <c r="F146" s="20">
        <f t="shared" ref="F146:I146" si="58">E146</f>
        <v>0</v>
      </c>
      <c r="G146" s="20">
        <f t="shared" si="58"/>
        <v>0</v>
      </c>
      <c r="H146" s="20">
        <f t="shared" si="58"/>
        <v>0</v>
      </c>
      <c r="I146" s="20">
        <f t="shared" si="58"/>
        <v>0</v>
      </c>
      <c r="J146" s="48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1.25" customHeight="1" x14ac:dyDescent="0.25">
      <c r="A147" s="3" t="s">
        <v>102</v>
      </c>
      <c r="B147" s="19">
        <v>-67</v>
      </c>
      <c r="C147" s="19">
        <v>-65</v>
      </c>
      <c r="D147" s="19">
        <v>141</v>
      </c>
      <c r="E147" s="19">
        <v>0</v>
      </c>
      <c r="F147" s="20">
        <f t="shared" ref="F147:I147" si="59">E147</f>
        <v>0</v>
      </c>
      <c r="G147" s="20">
        <f t="shared" si="59"/>
        <v>0</v>
      </c>
      <c r="H147" s="20">
        <f t="shared" si="59"/>
        <v>0</v>
      </c>
      <c r="I147" s="20">
        <f t="shared" si="59"/>
        <v>0</v>
      </c>
      <c r="J147" s="48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1.25" customHeight="1" x14ac:dyDescent="0.25">
      <c r="A148" s="3"/>
      <c r="B148" s="20"/>
      <c r="C148" s="20"/>
      <c r="D148" s="20"/>
      <c r="E148" s="20"/>
      <c r="F148" s="20"/>
      <c r="G148" s="20"/>
      <c r="H148" s="20"/>
      <c r="I148" s="20"/>
      <c r="J148" s="48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1.25" customHeight="1" x14ac:dyDescent="0.25">
      <c r="A149" s="1" t="s">
        <v>103</v>
      </c>
      <c r="B149" s="20"/>
      <c r="C149" s="20"/>
      <c r="D149" s="20"/>
      <c r="E149" s="20"/>
      <c r="F149" s="20"/>
      <c r="G149" s="20"/>
      <c r="H149" s="20"/>
      <c r="I149" s="20"/>
      <c r="J149" s="48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1.25" customHeight="1" x14ac:dyDescent="0.25">
      <c r="A150" s="3"/>
      <c r="B150" s="20"/>
      <c r="C150" s="20"/>
      <c r="D150" s="20"/>
      <c r="E150" s="20"/>
      <c r="F150" s="20"/>
      <c r="G150" s="20"/>
      <c r="H150" s="20"/>
      <c r="I150" s="20"/>
      <c r="J150" s="48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1.25" customHeight="1" x14ac:dyDescent="0.25">
      <c r="A151" s="1" t="s">
        <v>104</v>
      </c>
      <c r="B151" s="20"/>
      <c r="C151" s="20"/>
      <c r="D151" s="20"/>
      <c r="E151" s="20"/>
      <c r="F151" s="20"/>
      <c r="G151" s="20"/>
      <c r="H151" s="20"/>
      <c r="I151" s="20"/>
      <c r="J151" s="48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1.25" customHeight="1" x14ac:dyDescent="0.25">
      <c r="A152" s="3" t="s">
        <v>105</v>
      </c>
      <c r="B152" s="14">
        <v>0</v>
      </c>
      <c r="C152" s="77">
        <f>'Cash Flow Statement'!C37-'Balance Sheet'!C7</f>
        <v>152</v>
      </c>
      <c r="D152" s="77">
        <f>'Cash Flow Statement'!D37-'Balance Sheet'!D7</f>
        <v>329</v>
      </c>
      <c r="E152" s="20">
        <f t="shared" ref="E152:I152" si="60">D152</f>
        <v>329</v>
      </c>
      <c r="F152" s="20">
        <f t="shared" si="60"/>
        <v>329</v>
      </c>
      <c r="G152" s="20">
        <f t="shared" si="60"/>
        <v>329</v>
      </c>
      <c r="H152" s="20">
        <f t="shared" si="60"/>
        <v>329</v>
      </c>
      <c r="I152" s="20">
        <f t="shared" si="60"/>
        <v>329</v>
      </c>
      <c r="J152" s="48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1.25" customHeight="1" x14ac:dyDescent="0.25">
      <c r="A153" s="3"/>
      <c r="B153" s="20"/>
      <c r="C153" s="20"/>
      <c r="D153" s="20"/>
      <c r="E153" s="20"/>
      <c r="F153" s="20"/>
      <c r="G153" s="20"/>
      <c r="H153" s="20"/>
      <c r="I153" s="20"/>
      <c r="J153" s="48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1.25" customHeight="1" x14ac:dyDescent="0.25">
      <c r="A154" s="3"/>
      <c r="B154" s="20"/>
      <c r="C154" s="20"/>
      <c r="D154" s="20"/>
      <c r="E154" s="20"/>
      <c r="F154" s="20"/>
      <c r="G154" s="20"/>
      <c r="H154" s="20"/>
      <c r="I154" s="20"/>
      <c r="J154" s="48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1.25" customHeight="1" x14ac:dyDescent="0.25">
      <c r="A155" s="3"/>
      <c r="B155" s="20"/>
      <c r="C155" s="20"/>
      <c r="D155" s="20"/>
      <c r="E155" s="20"/>
      <c r="F155" s="20"/>
      <c r="G155" s="20"/>
      <c r="H155" s="20"/>
      <c r="I155" s="20"/>
      <c r="J155" s="48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1.25" customHeight="1" x14ac:dyDescent="0.25">
      <c r="A156" s="3"/>
      <c r="B156" s="20"/>
      <c r="C156" s="20"/>
      <c r="D156" s="20"/>
      <c r="E156" s="20"/>
      <c r="F156" s="20"/>
      <c r="G156" s="20"/>
      <c r="H156" s="20"/>
      <c r="I156" s="20"/>
      <c r="J156" s="48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1.25" customHeight="1" x14ac:dyDescent="0.25">
      <c r="A157" s="3"/>
      <c r="B157" s="22"/>
      <c r="C157" s="22"/>
      <c r="D157" s="22"/>
      <c r="E157" s="22"/>
      <c r="F157" s="22"/>
      <c r="G157" s="22"/>
      <c r="H157" s="22"/>
      <c r="I157" s="22"/>
      <c r="J157" s="48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1.25" customHeight="1" x14ac:dyDescent="0.25">
      <c r="A158" s="3"/>
      <c r="B158" s="22"/>
      <c r="C158" s="22"/>
      <c r="D158" s="22"/>
      <c r="E158" s="22"/>
      <c r="F158" s="22"/>
      <c r="G158" s="22"/>
      <c r="H158" s="22"/>
      <c r="I158" s="22"/>
      <c r="J158" s="48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1.25" customHeight="1" x14ac:dyDescent="0.25">
      <c r="A159" s="3"/>
      <c r="B159" s="22"/>
      <c r="C159" s="22"/>
      <c r="D159" s="22"/>
      <c r="E159" s="22"/>
      <c r="F159" s="22"/>
      <c r="G159" s="22"/>
      <c r="H159" s="22"/>
      <c r="I159" s="22"/>
      <c r="J159" s="48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1.25" customHeight="1" x14ac:dyDescent="0.25">
      <c r="A160" s="3"/>
      <c r="B160" s="48"/>
      <c r="C160" s="48"/>
      <c r="D160" s="48"/>
      <c r="E160" s="48"/>
      <c r="F160" s="48"/>
      <c r="G160" s="48"/>
      <c r="H160" s="48"/>
      <c r="I160" s="48"/>
      <c r="J160" s="48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1.25" customHeight="1" x14ac:dyDescent="0.25">
      <c r="A161" s="3"/>
      <c r="B161" s="48"/>
      <c r="C161" s="48"/>
      <c r="D161" s="48"/>
      <c r="E161" s="48"/>
      <c r="F161" s="48"/>
      <c r="G161" s="48"/>
      <c r="H161" s="48"/>
      <c r="I161" s="48"/>
      <c r="J161" s="48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1.25" customHeight="1" x14ac:dyDescent="0.25">
      <c r="A162" s="3"/>
      <c r="B162" s="48"/>
      <c r="C162" s="48"/>
      <c r="D162" s="48"/>
      <c r="E162" s="48"/>
      <c r="F162" s="48"/>
      <c r="G162" s="48"/>
      <c r="H162" s="48"/>
      <c r="I162" s="48"/>
      <c r="J162" s="48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1.25" customHeight="1" x14ac:dyDescent="0.25">
      <c r="A163" s="3"/>
      <c r="B163" s="48"/>
      <c r="C163" s="48"/>
      <c r="D163" s="48"/>
      <c r="E163" s="48"/>
      <c r="F163" s="48"/>
      <c r="G163" s="48"/>
      <c r="H163" s="48"/>
      <c r="I163" s="48"/>
      <c r="J163" s="48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1.25" customHeight="1" x14ac:dyDescent="0.25">
      <c r="A164" s="3"/>
      <c r="B164" s="48"/>
      <c r="C164" s="48"/>
      <c r="D164" s="48"/>
      <c r="E164" s="48"/>
      <c r="F164" s="48"/>
      <c r="G164" s="48"/>
      <c r="H164" s="48"/>
      <c r="I164" s="48"/>
      <c r="J164" s="48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1.25" customHeight="1" x14ac:dyDescent="0.25">
      <c r="A165" s="3"/>
      <c r="B165" s="48"/>
      <c r="C165" s="48"/>
      <c r="D165" s="48"/>
      <c r="E165" s="48"/>
      <c r="F165" s="48"/>
      <c r="G165" s="48"/>
      <c r="H165" s="48"/>
      <c r="I165" s="48"/>
      <c r="J165" s="48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1.25" customHeight="1" x14ac:dyDescent="0.25">
      <c r="A166" s="3"/>
      <c r="B166" s="48"/>
      <c r="C166" s="48"/>
      <c r="D166" s="48"/>
      <c r="E166" s="48"/>
      <c r="F166" s="48"/>
      <c r="G166" s="48"/>
      <c r="H166" s="48"/>
      <c r="I166" s="48"/>
      <c r="J166" s="48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1.25" customHeight="1" x14ac:dyDescent="0.25">
      <c r="A167" s="3"/>
      <c r="B167" s="48"/>
      <c r="C167" s="48"/>
      <c r="D167" s="48"/>
      <c r="E167" s="48"/>
      <c r="F167" s="48"/>
      <c r="G167" s="48"/>
      <c r="H167" s="48"/>
      <c r="I167" s="48"/>
      <c r="J167" s="48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1.25" customHeight="1" x14ac:dyDescent="0.25">
      <c r="A168" s="3"/>
      <c r="B168" s="48"/>
      <c r="C168" s="48"/>
      <c r="D168" s="48"/>
      <c r="E168" s="48"/>
      <c r="F168" s="48"/>
      <c r="G168" s="48"/>
      <c r="H168" s="48"/>
      <c r="I168" s="48"/>
      <c r="J168" s="48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1.25" customHeight="1" x14ac:dyDescent="0.25">
      <c r="A169" s="3"/>
      <c r="B169" s="48"/>
      <c r="C169" s="48"/>
      <c r="D169" s="48"/>
      <c r="E169" s="48"/>
      <c r="F169" s="48"/>
      <c r="G169" s="48"/>
      <c r="H169" s="48"/>
      <c r="I169" s="48"/>
      <c r="J169" s="48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1.25" customHeight="1" x14ac:dyDescent="0.25">
      <c r="A170" s="3"/>
      <c r="B170" s="48"/>
      <c r="C170" s="48"/>
      <c r="D170" s="48"/>
      <c r="E170" s="48"/>
      <c r="F170" s="48"/>
      <c r="G170" s="48"/>
      <c r="H170" s="48"/>
      <c r="I170" s="48"/>
      <c r="J170" s="48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1.25" customHeight="1" x14ac:dyDescent="0.25">
      <c r="A171" s="3"/>
      <c r="B171" s="48"/>
      <c r="C171" s="48"/>
      <c r="D171" s="48"/>
      <c r="E171" s="48"/>
      <c r="F171" s="48"/>
      <c r="G171" s="48"/>
      <c r="H171" s="48"/>
      <c r="I171" s="48"/>
      <c r="J171" s="48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1.25" customHeight="1" x14ac:dyDescent="0.25">
      <c r="A172" s="3"/>
      <c r="B172" s="48"/>
      <c r="C172" s="48"/>
      <c r="D172" s="48"/>
      <c r="E172" s="48"/>
      <c r="F172" s="48"/>
      <c r="G172" s="48"/>
      <c r="H172" s="48"/>
      <c r="I172" s="48"/>
      <c r="J172" s="48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1.25" customHeight="1" x14ac:dyDescent="0.25">
      <c r="A173" s="3"/>
      <c r="B173" s="48"/>
      <c r="C173" s="48"/>
      <c r="D173" s="48"/>
      <c r="E173" s="48"/>
      <c r="F173" s="48"/>
      <c r="G173" s="48"/>
      <c r="H173" s="48"/>
      <c r="I173" s="48"/>
      <c r="J173" s="48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1.25" customHeight="1" x14ac:dyDescent="0.25">
      <c r="A174" s="3"/>
      <c r="B174" s="48"/>
      <c r="C174" s="48"/>
      <c r="D174" s="48"/>
      <c r="E174" s="48"/>
      <c r="F174" s="48"/>
      <c r="G174" s="48"/>
      <c r="H174" s="48"/>
      <c r="I174" s="48"/>
      <c r="J174" s="48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1.25" customHeight="1" x14ac:dyDescent="0.25">
      <c r="A175" s="3"/>
      <c r="B175" s="48"/>
      <c r="C175" s="48"/>
      <c r="D175" s="48"/>
      <c r="E175" s="48"/>
      <c r="F175" s="48"/>
      <c r="G175" s="48"/>
      <c r="H175" s="48"/>
      <c r="I175" s="48"/>
      <c r="J175" s="48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1.25" customHeight="1" x14ac:dyDescent="0.25">
      <c r="A176" s="3"/>
      <c r="B176" s="48"/>
      <c r="C176" s="48"/>
      <c r="D176" s="48"/>
      <c r="E176" s="48"/>
      <c r="F176" s="48"/>
      <c r="G176" s="48"/>
      <c r="H176" s="48"/>
      <c r="I176" s="48"/>
      <c r="J176" s="48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1.25" customHeight="1" x14ac:dyDescent="0.25">
      <c r="A177" s="3"/>
      <c r="B177" s="48"/>
      <c r="C177" s="48"/>
      <c r="D177" s="48"/>
      <c r="E177" s="48"/>
      <c r="F177" s="48"/>
      <c r="G177" s="48"/>
      <c r="H177" s="48"/>
      <c r="I177" s="48"/>
      <c r="J177" s="48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1.25" customHeight="1" x14ac:dyDescent="0.25">
      <c r="A178" s="3"/>
      <c r="B178" s="48"/>
      <c r="C178" s="48"/>
      <c r="D178" s="48"/>
      <c r="E178" s="48"/>
      <c r="F178" s="48"/>
      <c r="G178" s="48"/>
      <c r="H178" s="48"/>
      <c r="I178" s="48"/>
      <c r="J178" s="48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1.25" customHeight="1" x14ac:dyDescent="0.25">
      <c r="A179" s="3"/>
      <c r="B179" s="48"/>
      <c r="C179" s="48"/>
      <c r="D179" s="48"/>
      <c r="E179" s="48"/>
      <c r="F179" s="48"/>
      <c r="G179" s="48"/>
      <c r="H179" s="48"/>
      <c r="I179" s="48"/>
      <c r="J179" s="48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1.25" customHeight="1" x14ac:dyDescent="0.25">
      <c r="A180" s="3"/>
      <c r="B180" s="48"/>
      <c r="C180" s="48"/>
      <c r="D180" s="48"/>
      <c r="E180" s="48"/>
      <c r="F180" s="48"/>
      <c r="G180" s="48"/>
      <c r="H180" s="48"/>
      <c r="I180" s="48"/>
      <c r="J180" s="48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1.25" customHeight="1" x14ac:dyDescent="0.25">
      <c r="A181" s="3"/>
      <c r="B181" s="48"/>
      <c r="C181" s="48"/>
      <c r="D181" s="48"/>
      <c r="E181" s="48"/>
      <c r="F181" s="48"/>
      <c r="G181" s="48"/>
      <c r="H181" s="48"/>
      <c r="I181" s="48"/>
      <c r="J181" s="48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1.25" customHeight="1" x14ac:dyDescent="0.25">
      <c r="A182" s="3"/>
      <c r="B182" s="48"/>
      <c r="C182" s="48"/>
      <c r="D182" s="48"/>
      <c r="E182" s="48"/>
      <c r="F182" s="48"/>
      <c r="G182" s="48"/>
      <c r="H182" s="48"/>
      <c r="I182" s="48"/>
      <c r="J182" s="48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1.25" customHeight="1" x14ac:dyDescent="0.25">
      <c r="A183" s="3"/>
      <c r="B183" s="48"/>
      <c r="C183" s="48"/>
      <c r="D183" s="48"/>
      <c r="E183" s="48"/>
      <c r="F183" s="48"/>
      <c r="G183" s="48"/>
      <c r="H183" s="48"/>
      <c r="I183" s="48"/>
      <c r="J183" s="48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1.25" customHeight="1" x14ac:dyDescent="0.25">
      <c r="A184" s="3"/>
      <c r="B184" s="48"/>
      <c r="C184" s="48"/>
      <c r="D184" s="48"/>
      <c r="E184" s="48"/>
      <c r="F184" s="48"/>
      <c r="G184" s="48"/>
      <c r="H184" s="48"/>
      <c r="I184" s="48"/>
      <c r="J184" s="48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1.25" customHeight="1" x14ac:dyDescent="0.25">
      <c r="A185" s="3"/>
      <c r="B185" s="48"/>
      <c r="C185" s="48"/>
      <c r="D185" s="48"/>
      <c r="E185" s="48"/>
      <c r="F185" s="48"/>
      <c r="G185" s="48"/>
      <c r="H185" s="48"/>
      <c r="I185" s="48"/>
      <c r="J185" s="48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1.25" customHeight="1" x14ac:dyDescent="0.25">
      <c r="A186" s="3"/>
      <c r="B186" s="48"/>
      <c r="C186" s="48"/>
      <c r="D186" s="48"/>
      <c r="E186" s="48"/>
      <c r="F186" s="48"/>
      <c r="G186" s="48"/>
      <c r="H186" s="48"/>
      <c r="I186" s="48"/>
      <c r="J186" s="48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1.25" customHeight="1" x14ac:dyDescent="0.25">
      <c r="A187" s="3"/>
      <c r="B187" s="48"/>
      <c r="C187" s="48"/>
      <c r="D187" s="48"/>
      <c r="E187" s="48"/>
      <c r="F187" s="48"/>
      <c r="G187" s="48"/>
      <c r="H187" s="48"/>
      <c r="I187" s="48"/>
      <c r="J187" s="48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1.25" customHeight="1" x14ac:dyDescent="0.25">
      <c r="A188" s="3"/>
      <c r="B188" s="48"/>
      <c r="C188" s="48"/>
      <c r="D188" s="48"/>
      <c r="E188" s="48"/>
      <c r="F188" s="48"/>
      <c r="G188" s="48"/>
      <c r="H188" s="48"/>
      <c r="I188" s="48"/>
      <c r="J188" s="48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1.25" customHeight="1" x14ac:dyDescent="0.25">
      <c r="A189" s="3"/>
      <c r="B189" s="48"/>
      <c r="C189" s="48"/>
      <c r="D189" s="48"/>
      <c r="E189" s="48"/>
      <c r="F189" s="48"/>
      <c r="G189" s="48"/>
      <c r="H189" s="48"/>
      <c r="I189" s="48"/>
      <c r="J189" s="48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1.25" customHeight="1" x14ac:dyDescent="0.25">
      <c r="A190" s="3"/>
      <c r="B190" s="48"/>
      <c r="C190" s="48"/>
      <c r="D190" s="48"/>
      <c r="E190" s="48"/>
      <c r="F190" s="48"/>
      <c r="G190" s="48"/>
      <c r="H190" s="48"/>
      <c r="I190" s="48"/>
      <c r="J190" s="48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1.25" customHeight="1" x14ac:dyDescent="0.25">
      <c r="A191" s="3"/>
      <c r="B191" s="48"/>
      <c r="C191" s="48"/>
      <c r="D191" s="48"/>
      <c r="E191" s="48"/>
      <c r="F191" s="48"/>
      <c r="G191" s="48"/>
      <c r="H191" s="48"/>
      <c r="I191" s="48"/>
      <c r="J191" s="48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1.25" customHeight="1" x14ac:dyDescent="0.25">
      <c r="A192" s="3"/>
      <c r="B192" s="48"/>
      <c r="C192" s="48"/>
      <c r="D192" s="48"/>
      <c r="E192" s="48"/>
      <c r="F192" s="48"/>
      <c r="G192" s="48"/>
      <c r="H192" s="48"/>
      <c r="I192" s="48"/>
      <c r="J192" s="48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1.25" customHeight="1" x14ac:dyDescent="0.25">
      <c r="A193" s="3"/>
      <c r="B193" s="48"/>
      <c r="C193" s="48"/>
      <c r="D193" s="48"/>
      <c r="E193" s="48"/>
      <c r="F193" s="48"/>
      <c r="G193" s="48"/>
      <c r="H193" s="48"/>
      <c r="I193" s="48"/>
      <c r="J193" s="48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1.25" customHeight="1" x14ac:dyDescent="0.25">
      <c r="A194" s="3"/>
      <c r="B194" s="48"/>
      <c r="C194" s="48"/>
      <c r="D194" s="48"/>
      <c r="E194" s="48"/>
      <c r="F194" s="48"/>
      <c r="G194" s="48"/>
      <c r="H194" s="48"/>
      <c r="I194" s="48"/>
      <c r="J194" s="48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1.25" customHeight="1" x14ac:dyDescent="0.25">
      <c r="A195" s="3"/>
      <c r="B195" s="48"/>
      <c r="C195" s="48"/>
      <c r="D195" s="48"/>
      <c r="E195" s="48"/>
      <c r="F195" s="48"/>
      <c r="G195" s="48"/>
      <c r="H195" s="48"/>
      <c r="I195" s="48"/>
      <c r="J195" s="48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1.25" customHeight="1" x14ac:dyDescent="0.25">
      <c r="A196" s="3"/>
      <c r="B196" s="48"/>
      <c r="C196" s="48"/>
      <c r="D196" s="48"/>
      <c r="E196" s="48"/>
      <c r="F196" s="48"/>
      <c r="G196" s="48"/>
      <c r="H196" s="48"/>
      <c r="I196" s="48"/>
      <c r="J196" s="48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1.25" customHeight="1" x14ac:dyDescent="0.25">
      <c r="A197" s="3"/>
      <c r="B197" s="48"/>
      <c r="C197" s="48"/>
      <c r="D197" s="48"/>
      <c r="E197" s="48"/>
      <c r="F197" s="48"/>
      <c r="G197" s="48"/>
      <c r="H197" s="48"/>
      <c r="I197" s="48"/>
      <c r="J197" s="48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1.25" customHeight="1" x14ac:dyDescent="0.25">
      <c r="A198" s="3"/>
      <c r="B198" s="48"/>
      <c r="C198" s="48"/>
      <c r="D198" s="48"/>
      <c r="E198" s="48"/>
      <c r="F198" s="48"/>
      <c r="G198" s="48"/>
      <c r="H198" s="48"/>
      <c r="I198" s="48"/>
      <c r="J198" s="48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1.25" customHeight="1" x14ac:dyDescent="0.25">
      <c r="A199" s="3"/>
      <c r="B199" s="48"/>
      <c r="C199" s="48"/>
      <c r="D199" s="48"/>
      <c r="E199" s="48"/>
      <c r="F199" s="48"/>
      <c r="G199" s="48"/>
      <c r="H199" s="48"/>
      <c r="I199" s="48"/>
      <c r="J199" s="48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1.25" customHeight="1" x14ac:dyDescent="0.25">
      <c r="A200" s="3"/>
      <c r="B200" s="48"/>
      <c r="C200" s="48"/>
      <c r="D200" s="48"/>
      <c r="E200" s="48"/>
      <c r="F200" s="48"/>
      <c r="G200" s="48"/>
      <c r="H200" s="48"/>
      <c r="I200" s="48"/>
      <c r="J200" s="48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1.25" customHeight="1" x14ac:dyDescent="0.25">
      <c r="A201" s="3"/>
      <c r="B201" s="48"/>
      <c r="C201" s="48"/>
      <c r="D201" s="48"/>
      <c r="E201" s="48"/>
      <c r="F201" s="48"/>
      <c r="G201" s="48"/>
      <c r="H201" s="48"/>
      <c r="I201" s="48"/>
      <c r="J201" s="48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1.25" customHeight="1" x14ac:dyDescent="0.25">
      <c r="A202" s="3"/>
      <c r="B202" s="48"/>
      <c r="C202" s="48"/>
      <c r="D202" s="48"/>
      <c r="E202" s="48"/>
      <c r="F202" s="48"/>
      <c r="G202" s="48"/>
      <c r="H202" s="48"/>
      <c r="I202" s="48"/>
      <c r="J202" s="48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1.25" customHeight="1" x14ac:dyDescent="0.25">
      <c r="A203" s="3"/>
      <c r="B203" s="48"/>
      <c r="C203" s="48"/>
      <c r="D203" s="48"/>
      <c r="E203" s="48"/>
      <c r="F203" s="48"/>
      <c r="G203" s="48"/>
      <c r="H203" s="48"/>
      <c r="I203" s="48"/>
      <c r="J203" s="48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1.25" customHeight="1" x14ac:dyDescent="0.25">
      <c r="A204" s="3"/>
      <c r="B204" s="48"/>
      <c r="C204" s="48"/>
      <c r="D204" s="48"/>
      <c r="E204" s="48"/>
      <c r="F204" s="48"/>
      <c r="G204" s="48"/>
      <c r="H204" s="48"/>
      <c r="I204" s="48"/>
      <c r="J204" s="48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1.25" customHeight="1" x14ac:dyDescent="0.25">
      <c r="A205" s="3"/>
      <c r="B205" s="48"/>
      <c r="C205" s="48"/>
      <c r="D205" s="48"/>
      <c r="E205" s="48"/>
      <c r="F205" s="48"/>
      <c r="G205" s="48"/>
      <c r="H205" s="48"/>
      <c r="I205" s="48"/>
      <c r="J205" s="48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1.25" customHeight="1" x14ac:dyDescent="0.25">
      <c r="A206" s="3"/>
      <c r="B206" s="48"/>
      <c r="C206" s="48"/>
      <c r="D206" s="48"/>
      <c r="E206" s="48"/>
      <c r="F206" s="48"/>
      <c r="G206" s="48"/>
      <c r="H206" s="48"/>
      <c r="I206" s="48"/>
      <c r="J206" s="48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1.25" customHeight="1" x14ac:dyDescent="0.25">
      <c r="A207" s="3"/>
      <c r="B207" s="48"/>
      <c r="C207" s="48"/>
      <c r="D207" s="48"/>
      <c r="E207" s="48"/>
      <c r="F207" s="48"/>
      <c r="G207" s="48"/>
      <c r="H207" s="48"/>
      <c r="I207" s="48"/>
      <c r="J207" s="48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1.25" customHeight="1" x14ac:dyDescent="0.25">
      <c r="A208" s="3"/>
      <c r="B208" s="48"/>
      <c r="C208" s="48"/>
      <c r="D208" s="48"/>
      <c r="E208" s="48"/>
      <c r="F208" s="48"/>
      <c r="G208" s="48"/>
      <c r="H208" s="48"/>
      <c r="I208" s="48"/>
      <c r="J208" s="48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1.25" customHeight="1" x14ac:dyDescent="0.25">
      <c r="A209" s="3"/>
      <c r="B209" s="48"/>
      <c r="C209" s="48"/>
      <c r="D209" s="48"/>
      <c r="E209" s="48"/>
      <c r="F209" s="48"/>
      <c r="G209" s="48"/>
      <c r="H209" s="48"/>
      <c r="I209" s="48"/>
      <c r="J209" s="48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1.25" customHeight="1" x14ac:dyDescent="0.25">
      <c r="A210" s="3"/>
      <c r="B210" s="48"/>
      <c r="C210" s="48"/>
      <c r="D210" s="48"/>
      <c r="E210" s="48"/>
      <c r="F210" s="48"/>
      <c r="G210" s="48"/>
      <c r="H210" s="48"/>
      <c r="I210" s="48"/>
      <c r="J210" s="48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1.25" customHeight="1" x14ac:dyDescent="0.25">
      <c r="A211" s="3"/>
      <c r="B211" s="48"/>
      <c r="C211" s="48"/>
      <c r="D211" s="48"/>
      <c r="E211" s="48"/>
      <c r="F211" s="48"/>
      <c r="G211" s="48"/>
      <c r="H211" s="48"/>
      <c r="I211" s="48"/>
      <c r="J211" s="48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1.25" customHeight="1" x14ac:dyDescent="0.25">
      <c r="A212" s="3"/>
      <c r="B212" s="48"/>
      <c r="C212" s="48"/>
      <c r="D212" s="48"/>
      <c r="E212" s="48"/>
      <c r="F212" s="48"/>
      <c r="G212" s="48"/>
      <c r="H212" s="48"/>
      <c r="I212" s="48"/>
      <c r="J212" s="48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1.25" customHeight="1" x14ac:dyDescent="0.25">
      <c r="A213" s="3"/>
      <c r="B213" s="48"/>
      <c r="C213" s="48"/>
      <c r="D213" s="48"/>
      <c r="E213" s="48"/>
      <c r="F213" s="48"/>
      <c r="G213" s="48"/>
      <c r="H213" s="48"/>
      <c r="I213" s="48"/>
      <c r="J213" s="48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1.25" customHeight="1" x14ac:dyDescent="0.25">
      <c r="A214" s="3"/>
      <c r="B214" s="48"/>
      <c r="C214" s="48"/>
      <c r="D214" s="48"/>
      <c r="E214" s="48"/>
      <c r="F214" s="48"/>
      <c r="G214" s="48"/>
      <c r="H214" s="48"/>
      <c r="I214" s="48"/>
      <c r="J214" s="48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1.25" customHeight="1" x14ac:dyDescent="0.25">
      <c r="A215" s="3"/>
      <c r="B215" s="48"/>
      <c r="C215" s="48"/>
      <c r="D215" s="48"/>
      <c r="E215" s="48"/>
      <c r="F215" s="48"/>
      <c r="G215" s="48"/>
      <c r="H215" s="48"/>
      <c r="I215" s="48"/>
      <c r="J215" s="48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1.25" customHeight="1" x14ac:dyDescent="0.25">
      <c r="A216" s="3"/>
      <c r="B216" s="48"/>
      <c r="C216" s="48"/>
      <c r="D216" s="48"/>
      <c r="E216" s="48"/>
      <c r="F216" s="48"/>
      <c r="G216" s="48"/>
      <c r="H216" s="48"/>
      <c r="I216" s="48"/>
      <c r="J216" s="48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1.25" customHeight="1" x14ac:dyDescent="0.25">
      <c r="A217" s="3"/>
      <c r="B217" s="48"/>
      <c r="C217" s="48"/>
      <c r="D217" s="48"/>
      <c r="E217" s="48"/>
      <c r="F217" s="48"/>
      <c r="G217" s="48"/>
      <c r="H217" s="48"/>
      <c r="I217" s="48"/>
      <c r="J217" s="48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1.25" customHeight="1" x14ac:dyDescent="0.25">
      <c r="A218" s="3"/>
      <c r="B218" s="48"/>
      <c r="C218" s="48"/>
      <c r="D218" s="48"/>
      <c r="E218" s="48"/>
      <c r="F218" s="48"/>
      <c r="G218" s="48"/>
      <c r="H218" s="48"/>
      <c r="I218" s="48"/>
      <c r="J218" s="48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1.25" customHeight="1" x14ac:dyDescent="0.25">
      <c r="A219" s="3"/>
      <c r="B219" s="48"/>
      <c r="C219" s="48"/>
      <c r="D219" s="48"/>
      <c r="E219" s="48"/>
      <c r="F219" s="48"/>
      <c r="G219" s="48"/>
      <c r="H219" s="48"/>
      <c r="I219" s="48"/>
      <c r="J219" s="48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1.25" customHeight="1" x14ac:dyDescent="0.25">
      <c r="A220" s="3"/>
      <c r="B220" s="48"/>
      <c r="C220" s="48"/>
      <c r="D220" s="48"/>
      <c r="E220" s="48"/>
      <c r="F220" s="48"/>
      <c r="G220" s="48"/>
      <c r="H220" s="48"/>
      <c r="I220" s="48"/>
      <c r="J220" s="48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1.25" customHeight="1" x14ac:dyDescent="0.25">
      <c r="A221" s="3"/>
      <c r="B221" s="48"/>
      <c r="C221" s="48"/>
      <c r="D221" s="48"/>
      <c r="E221" s="48"/>
      <c r="F221" s="48"/>
      <c r="G221" s="48"/>
      <c r="H221" s="48"/>
      <c r="I221" s="48"/>
      <c r="J221" s="48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1.25" customHeight="1" x14ac:dyDescent="0.25">
      <c r="A222" s="3"/>
      <c r="B222" s="48"/>
      <c r="C222" s="48"/>
      <c r="D222" s="48"/>
      <c r="E222" s="48"/>
      <c r="F222" s="48"/>
      <c r="G222" s="48"/>
      <c r="H222" s="48"/>
      <c r="I222" s="48"/>
      <c r="J222" s="48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1.25" customHeight="1" x14ac:dyDescent="0.25">
      <c r="A223" s="3"/>
      <c r="B223" s="48"/>
      <c r="C223" s="48"/>
      <c r="D223" s="48"/>
      <c r="E223" s="48"/>
      <c r="F223" s="48"/>
      <c r="G223" s="48"/>
      <c r="H223" s="48"/>
      <c r="I223" s="48"/>
      <c r="J223" s="48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1.25" customHeight="1" x14ac:dyDescent="0.25">
      <c r="A224" s="3"/>
      <c r="B224" s="48"/>
      <c r="C224" s="48"/>
      <c r="D224" s="48"/>
      <c r="E224" s="48"/>
      <c r="F224" s="48"/>
      <c r="G224" s="48"/>
      <c r="H224" s="48"/>
      <c r="I224" s="48"/>
      <c r="J224" s="48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1.25" customHeight="1" x14ac:dyDescent="0.25">
      <c r="A225" s="3"/>
      <c r="B225" s="48"/>
      <c r="C225" s="48"/>
      <c r="D225" s="48"/>
      <c r="E225" s="48"/>
      <c r="F225" s="48"/>
      <c r="G225" s="48"/>
      <c r="H225" s="48"/>
      <c r="I225" s="48"/>
      <c r="J225" s="48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1.25" customHeight="1" x14ac:dyDescent="0.25">
      <c r="A226" s="3"/>
      <c r="B226" s="48"/>
      <c r="C226" s="48"/>
      <c r="D226" s="48"/>
      <c r="E226" s="48"/>
      <c r="F226" s="48"/>
      <c r="G226" s="48"/>
      <c r="H226" s="48"/>
      <c r="I226" s="48"/>
      <c r="J226" s="48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1.25" customHeight="1" x14ac:dyDescent="0.25">
      <c r="A227" s="3"/>
      <c r="B227" s="48"/>
      <c r="C227" s="48"/>
      <c r="D227" s="48"/>
      <c r="E227" s="48"/>
      <c r="F227" s="48"/>
      <c r="G227" s="48"/>
      <c r="H227" s="48"/>
      <c r="I227" s="48"/>
      <c r="J227" s="48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1.25" customHeight="1" x14ac:dyDescent="0.25">
      <c r="A228" s="3"/>
      <c r="B228" s="48"/>
      <c r="C228" s="48"/>
      <c r="D228" s="48"/>
      <c r="E228" s="48"/>
      <c r="F228" s="48"/>
      <c r="G228" s="48"/>
      <c r="H228" s="48"/>
      <c r="I228" s="48"/>
      <c r="J228" s="48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1.25" customHeight="1" x14ac:dyDescent="0.25">
      <c r="A229" s="3"/>
      <c r="B229" s="48"/>
      <c r="C229" s="48"/>
      <c r="D229" s="48"/>
      <c r="E229" s="48"/>
      <c r="F229" s="48"/>
      <c r="G229" s="48"/>
      <c r="H229" s="48"/>
      <c r="I229" s="48"/>
      <c r="J229" s="48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1.25" customHeight="1" x14ac:dyDescent="0.25">
      <c r="A230" s="3"/>
      <c r="B230" s="48"/>
      <c r="C230" s="48"/>
      <c r="D230" s="48"/>
      <c r="E230" s="48"/>
      <c r="F230" s="48"/>
      <c r="G230" s="48"/>
      <c r="H230" s="48"/>
      <c r="I230" s="48"/>
      <c r="J230" s="48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1.25" customHeight="1" x14ac:dyDescent="0.25">
      <c r="A231" s="3"/>
      <c r="B231" s="48"/>
      <c r="C231" s="48"/>
      <c r="D231" s="48"/>
      <c r="E231" s="48"/>
      <c r="F231" s="48"/>
      <c r="G231" s="48"/>
      <c r="H231" s="48"/>
      <c r="I231" s="48"/>
      <c r="J231" s="48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1.25" customHeight="1" x14ac:dyDescent="0.25">
      <c r="A232" s="3"/>
      <c r="B232" s="48"/>
      <c r="C232" s="48"/>
      <c r="D232" s="48"/>
      <c r="E232" s="48"/>
      <c r="F232" s="48"/>
      <c r="G232" s="48"/>
      <c r="H232" s="48"/>
      <c r="I232" s="48"/>
      <c r="J232" s="48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1.25" customHeight="1" x14ac:dyDescent="0.25">
      <c r="A233" s="3"/>
      <c r="B233" s="48"/>
      <c r="C233" s="48"/>
      <c r="D233" s="48"/>
      <c r="E233" s="48"/>
      <c r="F233" s="48"/>
      <c r="G233" s="48"/>
      <c r="H233" s="48"/>
      <c r="I233" s="48"/>
      <c r="J233" s="48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1.25" customHeight="1" x14ac:dyDescent="0.25">
      <c r="A234" s="3"/>
      <c r="B234" s="48"/>
      <c r="C234" s="48"/>
      <c r="D234" s="48"/>
      <c r="E234" s="48"/>
      <c r="F234" s="48"/>
      <c r="G234" s="48"/>
      <c r="H234" s="48"/>
      <c r="I234" s="48"/>
      <c r="J234" s="48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1.25" customHeight="1" x14ac:dyDescent="0.25">
      <c r="A235" s="3"/>
      <c r="B235" s="48"/>
      <c r="C235" s="48"/>
      <c r="D235" s="48"/>
      <c r="E235" s="48"/>
      <c r="F235" s="48"/>
      <c r="G235" s="48"/>
      <c r="H235" s="48"/>
      <c r="I235" s="48"/>
      <c r="J235" s="48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1.25" customHeight="1" x14ac:dyDescent="0.25">
      <c r="A236" s="3"/>
      <c r="B236" s="48"/>
      <c r="C236" s="48"/>
      <c r="D236" s="48"/>
      <c r="E236" s="48"/>
      <c r="F236" s="48"/>
      <c r="G236" s="48"/>
      <c r="H236" s="48"/>
      <c r="I236" s="48"/>
      <c r="J236" s="48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1.25" customHeight="1" x14ac:dyDescent="0.25">
      <c r="A237" s="3"/>
      <c r="B237" s="48"/>
      <c r="C237" s="48"/>
      <c r="D237" s="48"/>
      <c r="E237" s="48"/>
      <c r="F237" s="48"/>
      <c r="G237" s="48"/>
      <c r="H237" s="48"/>
      <c r="I237" s="48"/>
      <c r="J237" s="48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1.25" customHeight="1" x14ac:dyDescent="0.25">
      <c r="A238" s="3"/>
      <c r="B238" s="48"/>
      <c r="C238" s="48"/>
      <c r="D238" s="48"/>
      <c r="E238" s="48"/>
      <c r="F238" s="48"/>
      <c r="G238" s="48"/>
      <c r="H238" s="48"/>
      <c r="I238" s="48"/>
      <c r="J238" s="48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1.25" customHeight="1" x14ac:dyDescent="0.25">
      <c r="A239" s="3"/>
      <c r="B239" s="48"/>
      <c r="C239" s="48"/>
      <c r="D239" s="48"/>
      <c r="E239" s="48"/>
      <c r="F239" s="48"/>
      <c r="G239" s="48"/>
      <c r="H239" s="48"/>
      <c r="I239" s="48"/>
      <c r="J239" s="48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1.25" customHeight="1" x14ac:dyDescent="0.25">
      <c r="A240" s="3"/>
      <c r="B240" s="48"/>
      <c r="C240" s="48"/>
      <c r="D240" s="48"/>
      <c r="E240" s="48"/>
      <c r="F240" s="48"/>
      <c r="G240" s="48"/>
      <c r="H240" s="48"/>
      <c r="I240" s="48"/>
      <c r="J240" s="48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1.25" customHeight="1" x14ac:dyDescent="0.25">
      <c r="A241" s="3"/>
      <c r="B241" s="48"/>
      <c r="C241" s="48"/>
      <c r="D241" s="48"/>
      <c r="E241" s="48"/>
      <c r="F241" s="48"/>
      <c r="G241" s="48"/>
      <c r="H241" s="48"/>
      <c r="I241" s="48"/>
      <c r="J241" s="48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1.25" customHeight="1" x14ac:dyDescent="0.25">
      <c r="A242" s="3"/>
      <c r="B242" s="48"/>
      <c r="C242" s="48"/>
      <c r="D242" s="48"/>
      <c r="E242" s="48"/>
      <c r="F242" s="48"/>
      <c r="G242" s="48"/>
      <c r="H242" s="48"/>
      <c r="I242" s="48"/>
      <c r="J242" s="48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1.25" customHeight="1" x14ac:dyDescent="0.25">
      <c r="A243" s="3"/>
      <c r="B243" s="48"/>
      <c r="C243" s="48"/>
      <c r="D243" s="48"/>
      <c r="E243" s="48"/>
      <c r="F243" s="48"/>
      <c r="G243" s="48"/>
      <c r="H243" s="48"/>
      <c r="I243" s="48"/>
      <c r="J243" s="48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1.25" customHeight="1" x14ac:dyDescent="0.25">
      <c r="A244" s="3"/>
      <c r="B244" s="48"/>
      <c r="C244" s="48"/>
      <c r="D244" s="48"/>
      <c r="E244" s="48"/>
      <c r="F244" s="48"/>
      <c r="G244" s="48"/>
      <c r="H244" s="48"/>
      <c r="I244" s="48"/>
      <c r="J244" s="48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1.25" customHeight="1" x14ac:dyDescent="0.25">
      <c r="A245" s="3"/>
      <c r="B245" s="48"/>
      <c r="C245" s="48"/>
      <c r="D245" s="48"/>
      <c r="E245" s="48"/>
      <c r="F245" s="48"/>
      <c r="G245" s="48"/>
      <c r="H245" s="48"/>
      <c r="I245" s="48"/>
      <c r="J245" s="48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1.25" customHeight="1" x14ac:dyDescent="0.25">
      <c r="A246" s="3"/>
      <c r="B246" s="48"/>
      <c r="C246" s="48"/>
      <c r="D246" s="48"/>
      <c r="E246" s="48"/>
      <c r="F246" s="48"/>
      <c r="G246" s="48"/>
      <c r="H246" s="48"/>
      <c r="I246" s="48"/>
      <c r="J246" s="48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1.25" customHeight="1" x14ac:dyDescent="0.25">
      <c r="A247" s="3"/>
      <c r="B247" s="48"/>
      <c r="C247" s="48"/>
      <c r="D247" s="48"/>
      <c r="E247" s="48"/>
      <c r="F247" s="48"/>
      <c r="G247" s="48"/>
      <c r="H247" s="48"/>
      <c r="I247" s="48"/>
      <c r="J247" s="48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1.25" customHeight="1" x14ac:dyDescent="0.25">
      <c r="A248" s="3"/>
      <c r="B248" s="48"/>
      <c r="C248" s="48"/>
      <c r="D248" s="48"/>
      <c r="E248" s="48"/>
      <c r="F248" s="48"/>
      <c r="G248" s="48"/>
      <c r="H248" s="48"/>
      <c r="I248" s="48"/>
      <c r="J248" s="48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1.25" customHeight="1" x14ac:dyDescent="0.25">
      <c r="A249" s="3"/>
      <c r="B249" s="48"/>
      <c r="C249" s="48"/>
      <c r="D249" s="48"/>
      <c r="E249" s="48"/>
      <c r="F249" s="48"/>
      <c r="G249" s="48"/>
      <c r="H249" s="48"/>
      <c r="I249" s="48"/>
      <c r="J249" s="48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1.25" customHeight="1" x14ac:dyDescent="0.25">
      <c r="A250" s="3"/>
      <c r="B250" s="48"/>
      <c r="C250" s="48"/>
      <c r="D250" s="48"/>
      <c r="E250" s="48"/>
      <c r="F250" s="48"/>
      <c r="G250" s="48"/>
      <c r="H250" s="48"/>
      <c r="I250" s="48"/>
      <c r="J250" s="48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1.25" customHeight="1" x14ac:dyDescent="0.25">
      <c r="A251" s="3"/>
      <c r="B251" s="48"/>
      <c r="C251" s="48"/>
      <c r="D251" s="48"/>
      <c r="E251" s="48"/>
      <c r="F251" s="48"/>
      <c r="G251" s="48"/>
      <c r="H251" s="48"/>
      <c r="I251" s="48"/>
      <c r="J251" s="48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1.25" customHeight="1" x14ac:dyDescent="0.25">
      <c r="A252" s="3"/>
      <c r="B252" s="48"/>
      <c r="C252" s="48"/>
      <c r="D252" s="48"/>
      <c r="E252" s="48"/>
      <c r="F252" s="48"/>
      <c r="G252" s="48"/>
      <c r="H252" s="48"/>
      <c r="I252" s="48"/>
      <c r="J252" s="48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1.25" customHeight="1" x14ac:dyDescent="0.25">
      <c r="A253" s="3"/>
      <c r="B253" s="48"/>
      <c r="C253" s="48"/>
      <c r="D253" s="48"/>
      <c r="E253" s="48"/>
      <c r="F253" s="48"/>
      <c r="G253" s="48"/>
      <c r="H253" s="48"/>
      <c r="I253" s="48"/>
      <c r="J253" s="48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1.25" customHeight="1" x14ac:dyDescent="0.25">
      <c r="A254" s="3"/>
      <c r="B254" s="48"/>
      <c r="C254" s="48"/>
      <c r="D254" s="48"/>
      <c r="E254" s="48"/>
      <c r="F254" s="48"/>
      <c r="G254" s="48"/>
      <c r="H254" s="48"/>
      <c r="I254" s="48"/>
      <c r="J254" s="48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1.25" customHeight="1" x14ac:dyDescent="0.25">
      <c r="A255" s="3"/>
      <c r="B255" s="48"/>
      <c r="C255" s="48"/>
      <c r="D255" s="48"/>
      <c r="E255" s="48"/>
      <c r="F255" s="48"/>
      <c r="G255" s="48"/>
      <c r="H255" s="48"/>
      <c r="I255" s="48"/>
      <c r="J255" s="48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1.25" customHeight="1" x14ac:dyDescent="0.25">
      <c r="A256" s="3"/>
      <c r="B256" s="48"/>
      <c r="C256" s="48"/>
      <c r="D256" s="48"/>
      <c r="E256" s="48"/>
      <c r="F256" s="48"/>
      <c r="G256" s="48"/>
      <c r="H256" s="48"/>
      <c r="I256" s="48"/>
      <c r="J256" s="48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1.25" customHeight="1" x14ac:dyDescent="0.25">
      <c r="A257" s="3"/>
      <c r="B257" s="48"/>
      <c r="C257" s="48"/>
      <c r="D257" s="48"/>
      <c r="E257" s="48"/>
      <c r="F257" s="48"/>
      <c r="G257" s="48"/>
      <c r="H257" s="48"/>
      <c r="I257" s="48"/>
      <c r="J257" s="48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1.25" customHeight="1" x14ac:dyDescent="0.25">
      <c r="A258" s="3"/>
      <c r="B258" s="48"/>
      <c r="C258" s="48"/>
      <c r="D258" s="48"/>
      <c r="E258" s="48"/>
      <c r="F258" s="48"/>
      <c r="G258" s="48"/>
      <c r="H258" s="48"/>
      <c r="I258" s="48"/>
      <c r="J258" s="48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1.25" customHeight="1" x14ac:dyDescent="0.25">
      <c r="A259" s="3"/>
      <c r="B259" s="48"/>
      <c r="C259" s="48"/>
      <c r="D259" s="48"/>
      <c r="E259" s="48"/>
      <c r="F259" s="48"/>
      <c r="G259" s="48"/>
      <c r="H259" s="48"/>
      <c r="I259" s="48"/>
      <c r="J259" s="48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1.25" customHeight="1" x14ac:dyDescent="0.25">
      <c r="A260" s="3"/>
      <c r="B260" s="48"/>
      <c r="C260" s="48"/>
      <c r="D260" s="48"/>
      <c r="E260" s="48"/>
      <c r="F260" s="48"/>
      <c r="G260" s="48"/>
      <c r="H260" s="48"/>
      <c r="I260" s="48"/>
      <c r="J260" s="48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1.25" customHeight="1" x14ac:dyDescent="0.25">
      <c r="A261" s="3"/>
      <c r="B261" s="48"/>
      <c r="C261" s="48"/>
      <c r="D261" s="48"/>
      <c r="E261" s="48"/>
      <c r="F261" s="48"/>
      <c r="G261" s="48"/>
      <c r="H261" s="48"/>
      <c r="I261" s="48"/>
      <c r="J261" s="48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1.25" customHeight="1" x14ac:dyDescent="0.25">
      <c r="A262" s="3"/>
      <c r="B262" s="48"/>
      <c r="C262" s="48"/>
      <c r="D262" s="48"/>
      <c r="E262" s="48"/>
      <c r="F262" s="48"/>
      <c r="G262" s="48"/>
      <c r="H262" s="48"/>
      <c r="I262" s="48"/>
      <c r="J262" s="48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1.25" customHeight="1" x14ac:dyDescent="0.25">
      <c r="A263" s="3"/>
      <c r="B263" s="48"/>
      <c r="C263" s="48"/>
      <c r="D263" s="48"/>
      <c r="E263" s="48"/>
      <c r="F263" s="48"/>
      <c r="G263" s="48"/>
      <c r="H263" s="48"/>
      <c r="I263" s="48"/>
      <c r="J263" s="48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1.25" customHeight="1" x14ac:dyDescent="0.25">
      <c r="A264" s="3"/>
      <c r="B264" s="48"/>
      <c r="C264" s="48"/>
      <c r="D264" s="48"/>
      <c r="E264" s="48"/>
      <c r="F264" s="48"/>
      <c r="G264" s="48"/>
      <c r="H264" s="48"/>
      <c r="I264" s="48"/>
      <c r="J264" s="48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1.25" customHeight="1" x14ac:dyDescent="0.25">
      <c r="A265" s="3"/>
      <c r="B265" s="48"/>
      <c r="C265" s="48"/>
      <c r="D265" s="48"/>
      <c r="E265" s="48"/>
      <c r="F265" s="48"/>
      <c r="G265" s="48"/>
      <c r="H265" s="48"/>
      <c r="I265" s="48"/>
      <c r="J265" s="48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1.25" customHeight="1" x14ac:dyDescent="0.25">
      <c r="A266" s="3"/>
      <c r="B266" s="48"/>
      <c r="C266" s="48"/>
      <c r="D266" s="48"/>
      <c r="E266" s="48"/>
      <c r="F266" s="48"/>
      <c r="G266" s="48"/>
      <c r="H266" s="48"/>
      <c r="I266" s="48"/>
      <c r="J266" s="48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1.25" customHeight="1" x14ac:dyDescent="0.25">
      <c r="A267" s="3"/>
      <c r="B267" s="48"/>
      <c r="C267" s="48"/>
      <c r="D267" s="48"/>
      <c r="E267" s="48"/>
      <c r="F267" s="48"/>
      <c r="G267" s="48"/>
      <c r="H267" s="48"/>
      <c r="I267" s="48"/>
      <c r="J267" s="48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1.25" customHeight="1" x14ac:dyDescent="0.25">
      <c r="A268" s="3"/>
      <c r="B268" s="48"/>
      <c r="C268" s="48"/>
      <c r="D268" s="48"/>
      <c r="E268" s="48"/>
      <c r="F268" s="48"/>
      <c r="G268" s="48"/>
      <c r="H268" s="48"/>
      <c r="I268" s="48"/>
      <c r="J268" s="48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1.25" customHeight="1" x14ac:dyDescent="0.25">
      <c r="A269" s="3"/>
      <c r="B269" s="48"/>
      <c r="C269" s="48"/>
      <c r="D269" s="48"/>
      <c r="E269" s="48"/>
      <c r="F269" s="48"/>
      <c r="G269" s="48"/>
      <c r="H269" s="48"/>
      <c r="I269" s="48"/>
      <c r="J269" s="48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1.25" customHeight="1" x14ac:dyDescent="0.25">
      <c r="A270" s="3"/>
      <c r="B270" s="48"/>
      <c r="C270" s="48"/>
      <c r="D270" s="48"/>
      <c r="E270" s="48"/>
      <c r="F270" s="48"/>
      <c r="G270" s="48"/>
      <c r="H270" s="48"/>
      <c r="I270" s="48"/>
      <c r="J270" s="48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1.25" customHeight="1" x14ac:dyDescent="0.25">
      <c r="A271" s="3"/>
      <c r="B271" s="48"/>
      <c r="C271" s="48"/>
      <c r="D271" s="48"/>
      <c r="E271" s="48"/>
      <c r="F271" s="48"/>
      <c r="G271" s="48"/>
      <c r="H271" s="48"/>
      <c r="I271" s="48"/>
      <c r="J271" s="48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1.25" customHeight="1" x14ac:dyDescent="0.25">
      <c r="A272" s="3"/>
      <c r="B272" s="48"/>
      <c r="C272" s="48"/>
      <c r="D272" s="48"/>
      <c r="E272" s="48"/>
      <c r="F272" s="48"/>
      <c r="G272" s="48"/>
      <c r="H272" s="48"/>
      <c r="I272" s="48"/>
      <c r="J272" s="48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1.25" customHeight="1" x14ac:dyDescent="0.25">
      <c r="A273" s="3"/>
      <c r="B273" s="48"/>
      <c r="C273" s="48"/>
      <c r="D273" s="48"/>
      <c r="E273" s="48"/>
      <c r="F273" s="48"/>
      <c r="G273" s="48"/>
      <c r="H273" s="48"/>
      <c r="I273" s="48"/>
      <c r="J273" s="48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1.25" customHeight="1" x14ac:dyDescent="0.25">
      <c r="A274" s="3"/>
      <c r="B274" s="48"/>
      <c r="C274" s="48"/>
      <c r="D274" s="48"/>
      <c r="E274" s="48"/>
      <c r="F274" s="48"/>
      <c r="G274" s="48"/>
      <c r="H274" s="48"/>
      <c r="I274" s="48"/>
      <c r="J274" s="48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1.25" customHeight="1" x14ac:dyDescent="0.25">
      <c r="A275" s="3"/>
      <c r="B275" s="48"/>
      <c r="C275" s="48"/>
      <c r="D275" s="48"/>
      <c r="E275" s="48"/>
      <c r="F275" s="48"/>
      <c r="G275" s="48"/>
      <c r="H275" s="48"/>
      <c r="I275" s="48"/>
      <c r="J275" s="48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1.25" customHeight="1" x14ac:dyDescent="0.25">
      <c r="A276" s="3"/>
      <c r="B276" s="48"/>
      <c r="C276" s="48"/>
      <c r="D276" s="48"/>
      <c r="E276" s="48"/>
      <c r="F276" s="48"/>
      <c r="G276" s="48"/>
      <c r="H276" s="48"/>
      <c r="I276" s="48"/>
      <c r="J276" s="48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1.25" customHeight="1" x14ac:dyDescent="0.25">
      <c r="A277" s="3"/>
      <c r="B277" s="48"/>
      <c r="C277" s="48"/>
      <c r="D277" s="48"/>
      <c r="E277" s="48"/>
      <c r="F277" s="48"/>
      <c r="G277" s="48"/>
      <c r="H277" s="48"/>
      <c r="I277" s="48"/>
      <c r="J277" s="48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1.25" customHeight="1" x14ac:dyDescent="0.25">
      <c r="A278" s="3"/>
      <c r="B278" s="48"/>
      <c r="C278" s="48"/>
      <c r="D278" s="48"/>
      <c r="E278" s="48"/>
      <c r="F278" s="48"/>
      <c r="G278" s="48"/>
      <c r="H278" s="48"/>
      <c r="I278" s="48"/>
      <c r="J278" s="48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1.25" customHeight="1" x14ac:dyDescent="0.25">
      <c r="A279" s="3"/>
      <c r="B279" s="48"/>
      <c r="C279" s="48"/>
      <c r="D279" s="48"/>
      <c r="E279" s="48"/>
      <c r="F279" s="48"/>
      <c r="G279" s="48"/>
      <c r="H279" s="48"/>
      <c r="I279" s="48"/>
      <c r="J279" s="48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1.25" customHeight="1" x14ac:dyDescent="0.25">
      <c r="A280" s="3"/>
      <c r="B280" s="48"/>
      <c r="C280" s="48"/>
      <c r="D280" s="48"/>
      <c r="E280" s="48"/>
      <c r="F280" s="48"/>
      <c r="G280" s="48"/>
      <c r="H280" s="48"/>
      <c r="I280" s="48"/>
      <c r="J280" s="48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1.25" customHeight="1" x14ac:dyDescent="0.25">
      <c r="A281" s="3"/>
      <c r="B281" s="48"/>
      <c r="C281" s="48"/>
      <c r="D281" s="48"/>
      <c r="E281" s="48"/>
      <c r="F281" s="48"/>
      <c r="G281" s="48"/>
      <c r="H281" s="48"/>
      <c r="I281" s="48"/>
      <c r="J281" s="48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1.25" customHeight="1" x14ac:dyDescent="0.25">
      <c r="A282" s="3"/>
      <c r="B282" s="48"/>
      <c r="C282" s="48"/>
      <c r="D282" s="48"/>
      <c r="E282" s="48"/>
      <c r="F282" s="48"/>
      <c r="G282" s="48"/>
      <c r="H282" s="48"/>
      <c r="I282" s="48"/>
      <c r="J282" s="48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1.25" customHeight="1" x14ac:dyDescent="0.25">
      <c r="A283" s="3"/>
      <c r="B283" s="48"/>
      <c r="C283" s="48"/>
      <c r="D283" s="48"/>
      <c r="E283" s="48"/>
      <c r="F283" s="48"/>
      <c r="G283" s="48"/>
      <c r="H283" s="48"/>
      <c r="I283" s="48"/>
      <c r="J283" s="48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1.25" customHeight="1" x14ac:dyDescent="0.25">
      <c r="A284" s="3"/>
      <c r="B284" s="48"/>
      <c r="C284" s="48"/>
      <c r="D284" s="48"/>
      <c r="E284" s="48"/>
      <c r="F284" s="48"/>
      <c r="G284" s="48"/>
      <c r="H284" s="48"/>
      <c r="I284" s="48"/>
      <c r="J284" s="48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1.25" customHeight="1" x14ac:dyDescent="0.25">
      <c r="A285" s="3"/>
      <c r="B285" s="48"/>
      <c r="C285" s="48"/>
      <c r="D285" s="48"/>
      <c r="E285" s="48"/>
      <c r="F285" s="48"/>
      <c r="G285" s="48"/>
      <c r="H285" s="48"/>
      <c r="I285" s="48"/>
      <c r="J285" s="48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1.25" customHeight="1" x14ac:dyDescent="0.25">
      <c r="A286" s="3"/>
      <c r="B286" s="48"/>
      <c r="C286" s="48"/>
      <c r="D286" s="48"/>
      <c r="E286" s="48"/>
      <c r="F286" s="48"/>
      <c r="G286" s="48"/>
      <c r="H286" s="48"/>
      <c r="I286" s="48"/>
      <c r="J286" s="48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1.25" customHeight="1" x14ac:dyDescent="0.25">
      <c r="A287" s="3"/>
      <c r="B287" s="48"/>
      <c r="C287" s="48"/>
      <c r="D287" s="48"/>
      <c r="E287" s="48"/>
      <c r="F287" s="48"/>
      <c r="G287" s="48"/>
      <c r="H287" s="48"/>
      <c r="I287" s="48"/>
      <c r="J287" s="48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1.25" customHeight="1" x14ac:dyDescent="0.25">
      <c r="A288" s="3"/>
      <c r="B288" s="48"/>
      <c r="C288" s="48"/>
      <c r="D288" s="48"/>
      <c r="E288" s="48"/>
      <c r="F288" s="48"/>
      <c r="G288" s="48"/>
      <c r="H288" s="48"/>
      <c r="I288" s="48"/>
      <c r="J288" s="48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1.25" customHeight="1" x14ac:dyDescent="0.25">
      <c r="A289" s="3"/>
      <c r="B289" s="48"/>
      <c r="C289" s="48"/>
      <c r="D289" s="48"/>
      <c r="E289" s="48"/>
      <c r="F289" s="48"/>
      <c r="G289" s="48"/>
      <c r="H289" s="48"/>
      <c r="I289" s="48"/>
      <c r="J289" s="48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1.25" customHeight="1" x14ac:dyDescent="0.25">
      <c r="A290" s="3"/>
      <c r="B290" s="48"/>
      <c r="C290" s="48"/>
      <c r="D290" s="48"/>
      <c r="E290" s="48"/>
      <c r="F290" s="48"/>
      <c r="G290" s="48"/>
      <c r="H290" s="48"/>
      <c r="I290" s="48"/>
      <c r="J290" s="48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1.25" customHeight="1" x14ac:dyDescent="0.25">
      <c r="A291" s="3"/>
      <c r="B291" s="48"/>
      <c r="C291" s="48"/>
      <c r="D291" s="48"/>
      <c r="E291" s="48"/>
      <c r="F291" s="48"/>
      <c r="G291" s="48"/>
      <c r="H291" s="48"/>
      <c r="I291" s="48"/>
      <c r="J291" s="48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1.25" customHeight="1" x14ac:dyDescent="0.25">
      <c r="A292" s="3"/>
      <c r="B292" s="48"/>
      <c r="C292" s="48"/>
      <c r="D292" s="48"/>
      <c r="E292" s="48"/>
      <c r="F292" s="48"/>
      <c r="G292" s="48"/>
      <c r="H292" s="48"/>
      <c r="I292" s="48"/>
      <c r="J292" s="48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1.25" customHeight="1" x14ac:dyDescent="0.25">
      <c r="A293" s="3"/>
      <c r="B293" s="48"/>
      <c r="C293" s="48"/>
      <c r="D293" s="48"/>
      <c r="E293" s="48"/>
      <c r="F293" s="48"/>
      <c r="G293" s="48"/>
      <c r="H293" s="48"/>
      <c r="I293" s="48"/>
      <c r="J293" s="48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1.25" customHeight="1" x14ac:dyDescent="0.25">
      <c r="A294" s="3"/>
      <c r="B294" s="48"/>
      <c r="C294" s="48"/>
      <c r="D294" s="48"/>
      <c r="E294" s="48"/>
      <c r="F294" s="48"/>
      <c r="G294" s="48"/>
      <c r="H294" s="48"/>
      <c r="I294" s="48"/>
      <c r="J294" s="48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1.25" customHeight="1" x14ac:dyDescent="0.25">
      <c r="A295" s="3"/>
      <c r="B295" s="48"/>
      <c r="C295" s="48"/>
      <c r="D295" s="48"/>
      <c r="E295" s="48"/>
      <c r="F295" s="48"/>
      <c r="G295" s="48"/>
      <c r="H295" s="48"/>
      <c r="I295" s="48"/>
      <c r="J295" s="48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1.25" customHeight="1" x14ac:dyDescent="0.25">
      <c r="A296" s="3"/>
      <c r="B296" s="48"/>
      <c r="C296" s="48"/>
      <c r="D296" s="48"/>
      <c r="E296" s="48"/>
      <c r="F296" s="48"/>
      <c r="G296" s="48"/>
      <c r="H296" s="48"/>
      <c r="I296" s="48"/>
      <c r="J296" s="48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1.25" customHeight="1" x14ac:dyDescent="0.25">
      <c r="A297" s="3"/>
      <c r="B297" s="48"/>
      <c r="C297" s="48"/>
      <c r="D297" s="48"/>
      <c r="E297" s="48"/>
      <c r="F297" s="48"/>
      <c r="G297" s="48"/>
      <c r="H297" s="48"/>
      <c r="I297" s="48"/>
      <c r="J297" s="48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1.25" customHeight="1" x14ac:dyDescent="0.25">
      <c r="A298" s="3"/>
      <c r="B298" s="48"/>
      <c r="C298" s="48"/>
      <c r="D298" s="48"/>
      <c r="E298" s="48"/>
      <c r="F298" s="48"/>
      <c r="G298" s="48"/>
      <c r="H298" s="48"/>
      <c r="I298" s="48"/>
      <c r="J298" s="48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1.25" customHeight="1" x14ac:dyDescent="0.25">
      <c r="A299" s="3"/>
      <c r="B299" s="48"/>
      <c r="C299" s="48"/>
      <c r="D299" s="48"/>
      <c r="E299" s="48"/>
      <c r="F299" s="48"/>
      <c r="G299" s="48"/>
      <c r="H299" s="48"/>
      <c r="I299" s="48"/>
      <c r="J299" s="48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1.25" customHeight="1" x14ac:dyDescent="0.25">
      <c r="A300" s="3"/>
      <c r="B300" s="48"/>
      <c r="C300" s="48"/>
      <c r="D300" s="48"/>
      <c r="E300" s="48"/>
      <c r="F300" s="48"/>
      <c r="G300" s="48"/>
      <c r="H300" s="48"/>
      <c r="I300" s="48"/>
      <c r="J300" s="48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1.25" customHeight="1" x14ac:dyDescent="0.25">
      <c r="A301" s="3"/>
      <c r="B301" s="48"/>
      <c r="C301" s="48"/>
      <c r="D301" s="48"/>
      <c r="E301" s="48"/>
      <c r="F301" s="48"/>
      <c r="G301" s="48"/>
      <c r="H301" s="48"/>
      <c r="I301" s="48"/>
      <c r="J301" s="48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1.25" customHeight="1" x14ac:dyDescent="0.25">
      <c r="A302" s="3"/>
      <c r="B302" s="48"/>
      <c r="C302" s="48"/>
      <c r="D302" s="48"/>
      <c r="E302" s="48"/>
      <c r="F302" s="48"/>
      <c r="G302" s="48"/>
      <c r="H302" s="48"/>
      <c r="I302" s="48"/>
      <c r="J302" s="48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1.25" customHeight="1" x14ac:dyDescent="0.25">
      <c r="A303" s="3"/>
      <c r="B303" s="48"/>
      <c r="C303" s="48"/>
      <c r="D303" s="48"/>
      <c r="E303" s="48"/>
      <c r="F303" s="48"/>
      <c r="G303" s="48"/>
      <c r="H303" s="48"/>
      <c r="I303" s="48"/>
      <c r="J303" s="48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1.25" customHeight="1" x14ac:dyDescent="0.25">
      <c r="A304" s="3"/>
      <c r="B304" s="48"/>
      <c r="C304" s="48"/>
      <c r="D304" s="48"/>
      <c r="E304" s="48"/>
      <c r="F304" s="48"/>
      <c r="G304" s="48"/>
      <c r="H304" s="48"/>
      <c r="I304" s="48"/>
      <c r="J304" s="48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1.25" customHeight="1" x14ac:dyDescent="0.25">
      <c r="A305" s="3"/>
      <c r="B305" s="48"/>
      <c r="C305" s="48"/>
      <c r="D305" s="48"/>
      <c r="E305" s="48"/>
      <c r="F305" s="48"/>
      <c r="G305" s="48"/>
      <c r="H305" s="48"/>
      <c r="I305" s="48"/>
      <c r="J305" s="48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1.25" customHeight="1" x14ac:dyDescent="0.25">
      <c r="A306" s="3"/>
      <c r="B306" s="48"/>
      <c r="C306" s="48"/>
      <c r="D306" s="48"/>
      <c r="E306" s="48"/>
      <c r="F306" s="48"/>
      <c r="G306" s="48"/>
      <c r="H306" s="48"/>
      <c r="I306" s="48"/>
      <c r="J306" s="48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1.25" customHeight="1" x14ac:dyDescent="0.25">
      <c r="A307" s="3"/>
      <c r="B307" s="48"/>
      <c r="C307" s="48"/>
      <c r="D307" s="48"/>
      <c r="E307" s="48"/>
      <c r="F307" s="48"/>
      <c r="G307" s="48"/>
      <c r="H307" s="48"/>
      <c r="I307" s="48"/>
      <c r="J307" s="48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1.25" customHeight="1" x14ac:dyDescent="0.25">
      <c r="A308" s="3"/>
      <c r="B308" s="48"/>
      <c r="C308" s="48"/>
      <c r="D308" s="48"/>
      <c r="E308" s="48"/>
      <c r="F308" s="48"/>
      <c r="G308" s="48"/>
      <c r="H308" s="48"/>
      <c r="I308" s="48"/>
      <c r="J308" s="48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1.25" customHeight="1" x14ac:dyDescent="0.25">
      <c r="A309" s="3"/>
      <c r="B309" s="48"/>
      <c r="C309" s="48"/>
      <c r="D309" s="48"/>
      <c r="E309" s="48"/>
      <c r="F309" s="48"/>
      <c r="G309" s="48"/>
      <c r="H309" s="48"/>
      <c r="I309" s="48"/>
      <c r="J309" s="48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1.25" customHeight="1" x14ac:dyDescent="0.25">
      <c r="A310" s="3"/>
      <c r="B310" s="48"/>
      <c r="C310" s="48"/>
      <c r="D310" s="48"/>
      <c r="E310" s="48"/>
      <c r="F310" s="48"/>
      <c r="G310" s="48"/>
      <c r="H310" s="48"/>
      <c r="I310" s="48"/>
      <c r="J310" s="48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1.25" customHeight="1" x14ac:dyDescent="0.25">
      <c r="A311" s="3"/>
      <c r="B311" s="48"/>
      <c r="C311" s="48"/>
      <c r="D311" s="48"/>
      <c r="E311" s="48"/>
      <c r="F311" s="48"/>
      <c r="G311" s="48"/>
      <c r="H311" s="48"/>
      <c r="I311" s="48"/>
      <c r="J311" s="48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1.25" customHeight="1" x14ac:dyDescent="0.25">
      <c r="A312" s="3"/>
      <c r="B312" s="48"/>
      <c r="C312" s="48"/>
      <c r="D312" s="48"/>
      <c r="E312" s="48"/>
      <c r="F312" s="48"/>
      <c r="G312" s="48"/>
      <c r="H312" s="48"/>
      <c r="I312" s="48"/>
      <c r="J312" s="48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1.25" customHeight="1" x14ac:dyDescent="0.25">
      <c r="A313" s="3"/>
      <c r="B313" s="48"/>
      <c r="C313" s="48"/>
      <c r="D313" s="48"/>
      <c r="E313" s="48"/>
      <c r="F313" s="48"/>
      <c r="G313" s="48"/>
      <c r="H313" s="48"/>
      <c r="I313" s="48"/>
      <c r="J313" s="48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1.25" customHeight="1" x14ac:dyDescent="0.25">
      <c r="A314" s="3"/>
      <c r="B314" s="48"/>
      <c r="C314" s="48"/>
      <c r="D314" s="48"/>
      <c r="E314" s="48"/>
      <c r="F314" s="48"/>
      <c r="G314" s="48"/>
      <c r="H314" s="48"/>
      <c r="I314" s="48"/>
      <c r="J314" s="48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1.25" customHeight="1" x14ac:dyDescent="0.25">
      <c r="A315" s="3"/>
      <c r="B315" s="48"/>
      <c r="C315" s="48"/>
      <c r="D315" s="48"/>
      <c r="E315" s="48"/>
      <c r="F315" s="48"/>
      <c r="G315" s="48"/>
      <c r="H315" s="48"/>
      <c r="I315" s="48"/>
      <c r="J315" s="48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1.25" customHeight="1" x14ac:dyDescent="0.25">
      <c r="A316" s="3"/>
      <c r="B316" s="48"/>
      <c r="C316" s="48"/>
      <c r="D316" s="48"/>
      <c r="E316" s="48"/>
      <c r="F316" s="48"/>
      <c r="G316" s="48"/>
      <c r="H316" s="48"/>
      <c r="I316" s="48"/>
      <c r="J316" s="48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1.25" customHeight="1" x14ac:dyDescent="0.25">
      <c r="A317" s="3"/>
      <c r="B317" s="48"/>
      <c r="C317" s="48"/>
      <c r="D317" s="48"/>
      <c r="E317" s="48"/>
      <c r="F317" s="48"/>
      <c r="G317" s="48"/>
      <c r="H317" s="48"/>
      <c r="I317" s="48"/>
      <c r="J317" s="48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1.25" customHeight="1" x14ac:dyDescent="0.25">
      <c r="A318" s="3"/>
      <c r="B318" s="48"/>
      <c r="C318" s="48"/>
      <c r="D318" s="48"/>
      <c r="E318" s="48"/>
      <c r="F318" s="48"/>
      <c r="G318" s="48"/>
      <c r="H318" s="48"/>
      <c r="I318" s="48"/>
      <c r="J318" s="48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1.25" customHeight="1" x14ac:dyDescent="0.25">
      <c r="A319" s="3"/>
      <c r="B319" s="48"/>
      <c r="C319" s="48"/>
      <c r="D319" s="48"/>
      <c r="E319" s="48"/>
      <c r="F319" s="48"/>
      <c r="G319" s="48"/>
      <c r="H319" s="48"/>
      <c r="I319" s="48"/>
      <c r="J319" s="48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1.25" customHeight="1" x14ac:dyDescent="0.25">
      <c r="A320" s="3"/>
      <c r="B320" s="48"/>
      <c r="C320" s="48"/>
      <c r="D320" s="48"/>
      <c r="E320" s="48"/>
      <c r="F320" s="48"/>
      <c r="G320" s="48"/>
      <c r="H320" s="48"/>
      <c r="I320" s="48"/>
      <c r="J320" s="48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1.25" customHeight="1" x14ac:dyDescent="0.25">
      <c r="A321" s="3"/>
      <c r="B321" s="48"/>
      <c r="C321" s="48"/>
      <c r="D321" s="48"/>
      <c r="E321" s="48"/>
      <c r="F321" s="48"/>
      <c r="G321" s="48"/>
      <c r="H321" s="48"/>
      <c r="I321" s="48"/>
      <c r="J321" s="48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1.25" customHeight="1" x14ac:dyDescent="0.25">
      <c r="A322" s="3"/>
      <c r="B322" s="48"/>
      <c r="C322" s="48"/>
      <c r="D322" s="48"/>
      <c r="E322" s="48"/>
      <c r="F322" s="48"/>
      <c r="G322" s="48"/>
      <c r="H322" s="48"/>
      <c r="I322" s="48"/>
      <c r="J322" s="48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1.25" customHeight="1" x14ac:dyDescent="0.25">
      <c r="A323" s="3"/>
      <c r="B323" s="48"/>
      <c r="C323" s="48"/>
      <c r="D323" s="48"/>
      <c r="E323" s="48"/>
      <c r="F323" s="48"/>
      <c r="G323" s="48"/>
      <c r="H323" s="48"/>
      <c r="I323" s="48"/>
      <c r="J323" s="48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1.25" customHeight="1" x14ac:dyDescent="0.25">
      <c r="A324" s="3"/>
      <c r="B324" s="48"/>
      <c r="C324" s="48"/>
      <c r="D324" s="48"/>
      <c r="E324" s="48"/>
      <c r="F324" s="48"/>
      <c r="G324" s="48"/>
      <c r="H324" s="48"/>
      <c r="I324" s="48"/>
      <c r="J324" s="48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1.25" customHeight="1" x14ac:dyDescent="0.25">
      <c r="A325" s="3"/>
      <c r="B325" s="48"/>
      <c r="C325" s="48"/>
      <c r="D325" s="48"/>
      <c r="E325" s="48"/>
      <c r="F325" s="48"/>
      <c r="G325" s="48"/>
      <c r="H325" s="48"/>
      <c r="I325" s="48"/>
      <c r="J325" s="48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1.25" customHeight="1" x14ac:dyDescent="0.25">
      <c r="A326" s="3"/>
      <c r="B326" s="48"/>
      <c r="C326" s="48"/>
      <c r="D326" s="48"/>
      <c r="E326" s="48"/>
      <c r="F326" s="48"/>
      <c r="G326" s="48"/>
      <c r="H326" s="48"/>
      <c r="I326" s="48"/>
      <c r="J326" s="48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1.25" customHeight="1" x14ac:dyDescent="0.25">
      <c r="A327" s="3"/>
      <c r="B327" s="48"/>
      <c r="C327" s="48"/>
      <c r="D327" s="48"/>
      <c r="E327" s="48"/>
      <c r="F327" s="48"/>
      <c r="G327" s="48"/>
      <c r="H327" s="48"/>
      <c r="I327" s="48"/>
      <c r="J327" s="48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1.25" customHeight="1" x14ac:dyDescent="0.25">
      <c r="A328" s="3"/>
      <c r="B328" s="48"/>
      <c r="C328" s="48"/>
      <c r="D328" s="48"/>
      <c r="E328" s="48"/>
      <c r="F328" s="48"/>
      <c r="G328" s="48"/>
      <c r="H328" s="48"/>
      <c r="I328" s="48"/>
      <c r="J328" s="48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1.25" customHeight="1" x14ac:dyDescent="0.25">
      <c r="A329" s="3"/>
      <c r="B329" s="48"/>
      <c r="C329" s="48"/>
      <c r="D329" s="48"/>
      <c r="E329" s="48"/>
      <c r="F329" s="48"/>
      <c r="G329" s="48"/>
      <c r="H329" s="48"/>
      <c r="I329" s="48"/>
      <c r="J329" s="48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1.25" customHeight="1" x14ac:dyDescent="0.25">
      <c r="A330" s="3"/>
      <c r="B330" s="48"/>
      <c r="C330" s="48"/>
      <c r="D330" s="48"/>
      <c r="E330" s="48"/>
      <c r="F330" s="48"/>
      <c r="G330" s="48"/>
      <c r="H330" s="48"/>
      <c r="I330" s="48"/>
      <c r="J330" s="48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1.25" customHeight="1" x14ac:dyDescent="0.25">
      <c r="A331" s="3"/>
      <c r="B331" s="48"/>
      <c r="C331" s="48"/>
      <c r="D331" s="48"/>
      <c r="E331" s="48"/>
      <c r="F331" s="48"/>
      <c r="G331" s="48"/>
      <c r="H331" s="48"/>
      <c r="I331" s="48"/>
      <c r="J331" s="48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1.25" customHeight="1" x14ac:dyDescent="0.25">
      <c r="A332" s="3"/>
      <c r="B332" s="48"/>
      <c r="C332" s="48"/>
      <c r="D332" s="48"/>
      <c r="E332" s="48"/>
      <c r="F332" s="48"/>
      <c r="G332" s="48"/>
      <c r="H332" s="48"/>
      <c r="I332" s="48"/>
      <c r="J332" s="48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1.25" customHeight="1" x14ac:dyDescent="0.25">
      <c r="A333" s="3"/>
      <c r="B333" s="48"/>
      <c r="C333" s="48"/>
      <c r="D333" s="48"/>
      <c r="E333" s="48"/>
      <c r="F333" s="48"/>
      <c r="G333" s="48"/>
      <c r="H333" s="48"/>
      <c r="I333" s="48"/>
      <c r="J333" s="48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1.25" customHeight="1" x14ac:dyDescent="0.25">
      <c r="A334" s="3"/>
      <c r="B334" s="48"/>
      <c r="C334" s="48"/>
      <c r="D334" s="48"/>
      <c r="E334" s="48"/>
      <c r="F334" s="48"/>
      <c r="G334" s="48"/>
      <c r="H334" s="48"/>
      <c r="I334" s="48"/>
      <c r="J334" s="48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1.25" customHeight="1" x14ac:dyDescent="0.25">
      <c r="A335" s="3"/>
      <c r="B335" s="48"/>
      <c r="C335" s="48"/>
      <c r="D335" s="48"/>
      <c r="E335" s="48"/>
      <c r="F335" s="48"/>
      <c r="G335" s="48"/>
      <c r="H335" s="48"/>
      <c r="I335" s="48"/>
      <c r="J335" s="48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1.25" customHeight="1" x14ac:dyDescent="0.25">
      <c r="A336" s="3"/>
      <c r="B336" s="48"/>
      <c r="C336" s="48"/>
      <c r="D336" s="48"/>
      <c r="E336" s="48"/>
      <c r="F336" s="48"/>
      <c r="G336" s="48"/>
      <c r="H336" s="48"/>
      <c r="I336" s="48"/>
      <c r="J336" s="48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1.25" customHeight="1" x14ac:dyDescent="0.25">
      <c r="A337" s="3"/>
      <c r="B337" s="48"/>
      <c r="C337" s="48"/>
      <c r="D337" s="48"/>
      <c r="E337" s="48"/>
      <c r="F337" s="48"/>
      <c r="G337" s="48"/>
      <c r="H337" s="48"/>
      <c r="I337" s="48"/>
      <c r="J337" s="48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1.25" customHeight="1" x14ac:dyDescent="0.25">
      <c r="A338" s="3"/>
      <c r="B338" s="48"/>
      <c r="C338" s="48"/>
      <c r="D338" s="48"/>
      <c r="E338" s="48"/>
      <c r="F338" s="48"/>
      <c r="G338" s="48"/>
      <c r="H338" s="48"/>
      <c r="I338" s="48"/>
      <c r="J338" s="48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1.25" customHeight="1" x14ac:dyDescent="0.25">
      <c r="A339" s="3"/>
      <c r="B339" s="48"/>
      <c r="C339" s="48"/>
      <c r="D339" s="48"/>
      <c r="E339" s="48"/>
      <c r="F339" s="48"/>
      <c r="G339" s="48"/>
      <c r="H339" s="48"/>
      <c r="I339" s="48"/>
      <c r="J339" s="48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1.25" customHeight="1" x14ac:dyDescent="0.25">
      <c r="A340" s="3"/>
      <c r="B340" s="48"/>
      <c r="C340" s="48"/>
      <c r="D340" s="48"/>
      <c r="E340" s="48"/>
      <c r="F340" s="48"/>
      <c r="G340" s="48"/>
      <c r="H340" s="48"/>
      <c r="I340" s="48"/>
      <c r="J340" s="48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1.25" customHeight="1" x14ac:dyDescent="0.25">
      <c r="A341" s="3"/>
      <c r="B341" s="48"/>
      <c r="C341" s="48"/>
      <c r="D341" s="48"/>
      <c r="E341" s="48"/>
      <c r="F341" s="48"/>
      <c r="G341" s="48"/>
      <c r="H341" s="48"/>
      <c r="I341" s="48"/>
      <c r="J341" s="48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1.25" customHeight="1" x14ac:dyDescent="0.25">
      <c r="A342" s="3"/>
      <c r="B342" s="48"/>
      <c r="C342" s="48"/>
      <c r="D342" s="48"/>
      <c r="E342" s="48"/>
      <c r="F342" s="48"/>
      <c r="G342" s="48"/>
      <c r="H342" s="48"/>
      <c r="I342" s="48"/>
      <c r="J342" s="48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1.25" customHeight="1" x14ac:dyDescent="0.25">
      <c r="A343" s="3"/>
      <c r="B343" s="48"/>
      <c r="C343" s="48"/>
      <c r="D343" s="48"/>
      <c r="E343" s="48"/>
      <c r="F343" s="48"/>
      <c r="G343" s="48"/>
      <c r="H343" s="48"/>
      <c r="I343" s="48"/>
      <c r="J343" s="48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1.25" customHeight="1" x14ac:dyDescent="0.25">
      <c r="A344" s="3"/>
      <c r="B344" s="48"/>
      <c r="C344" s="48"/>
      <c r="D344" s="48"/>
      <c r="E344" s="48"/>
      <c r="F344" s="48"/>
      <c r="G344" s="48"/>
      <c r="H344" s="48"/>
      <c r="I344" s="48"/>
      <c r="J344" s="48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1.25" customHeight="1" x14ac:dyDescent="0.25">
      <c r="A345" s="3"/>
      <c r="B345" s="48"/>
      <c r="C345" s="48"/>
      <c r="D345" s="48"/>
      <c r="E345" s="48"/>
      <c r="F345" s="48"/>
      <c r="G345" s="48"/>
      <c r="H345" s="48"/>
      <c r="I345" s="48"/>
      <c r="J345" s="48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1.25" customHeight="1" x14ac:dyDescent="0.25">
      <c r="A346" s="3"/>
      <c r="B346" s="48"/>
      <c r="C346" s="48"/>
      <c r="D346" s="48"/>
      <c r="E346" s="48"/>
      <c r="F346" s="48"/>
      <c r="G346" s="48"/>
      <c r="H346" s="48"/>
      <c r="I346" s="48"/>
      <c r="J346" s="48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1.25" customHeight="1" x14ac:dyDescent="0.25">
      <c r="A347" s="3"/>
      <c r="B347" s="48"/>
      <c r="C347" s="48"/>
      <c r="D347" s="48"/>
      <c r="E347" s="48"/>
      <c r="F347" s="48"/>
      <c r="G347" s="48"/>
      <c r="H347" s="48"/>
      <c r="I347" s="48"/>
      <c r="J347" s="48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1.25" customHeight="1" x14ac:dyDescent="0.25">
      <c r="A348" s="3"/>
      <c r="B348" s="48"/>
      <c r="C348" s="48"/>
      <c r="D348" s="48"/>
      <c r="E348" s="48"/>
      <c r="F348" s="48"/>
      <c r="G348" s="48"/>
      <c r="H348" s="48"/>
      <c r="I348" s="48"/>
      <c r="J348" s="48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1.25" customHeight="1" x14ac:dyDescent="0.25">
      <c r="A349" s="3"/>
      <c r="B349" s="48"/>
      <c r="C349" s="48"/>
      <c r="D349" s="48"/>
      <c r="E349" s="48"/>
      <c r="F349" s="48"/>
      <c r="G349" s="48"/>
      <c r="H349" s="48"/>
      <c r="I349" s="48"/>
      <c r="J349" s="48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1.25" customHeight="1" x14ac:dyDescent="0.25">
      <c r="A350" s="3"/>
      <c r="B350" s="48"/>
      <c r="C350" s="48"/>
      <c r="D350" s="48"/>
      <c r="E350" s="48"/>
      <c r="F350" s="48"/>
      <c r="G350" s="48"/>
      <c r="H350" s="48"/>
      <c r="I350" s="48"/>
      <c r="J350" s="48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1.25" customHeight="1" x14ac:dyDescent="0.25">
      <c r="A351" s="3"/>
      <c r="B351" s="48"/>
      <c r="C351" s="48"/>
      <c r="D351" s="48"/>
      <c r="E351" s="48"/>
      <c r="F351" s="48"/>
      <c r="G351" s="48"/>
      <c r="H351" s="48"/>
      <c r="I351" s="48"/>
      <c r="J351" s="48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1.25" customHeight="1" x14ac:dyDescent="0.25">
      <c r="A352" s="3"/>
      <c r="B352" s="48"/>
      <c r="C352" s="48"/>
      <c r="D352" s="48"/>
      <c r="E352" s="48"/>
      <c r="F352" s="48"/>
      <c r="G352" s="48"/>
      <c r="H352" s="48"/>
      <c r="I352" s="48"/>
      <c r="J352" s="48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1.25" customHeight="1" x14ac:dyDescent="0.25">
      <c r="A353" s="3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1.25" customHeight="1" x14ac:dyDescent="0.25">
      <c r="A354" s="3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1.25" customHeight="1" x14ac:dyDescent="0.25">
      <c r="A355" s="3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1.25" customHeight="1" x14ac:dyDescent="0.25">
      <c r="A356" s="3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1.25" customHeight="1" x14ac:dyDescent="0.25">
      <c r="A357" s="3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1.25" customHeight="1" x14ac:dyDescent="0.25">
      <c r="A358" s="3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1.25" customHeight="1" x14ac:dyDescent="0.25">
      <c r="A359" s="3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1.25" customHeight="1" x14ac:dyDescent="0.25">
      <c r="A360" s="3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1.25" customHeight="1" x14ac:dyDescent="0.25">
      <c r="A361" s="3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1.25" customHeight="1" x14ac:dyDescent="0.25">
      <c r="A362" s="3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1.25" customHeight="1" x14ac:dyDescent="0.25">
      <c r="A363" s="3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1.25" customHeight="1" x14ac:dyDescent="0.25">
      <c r="A364" s="3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1.25" customHeight="1" x14ac:dyDescent="0.25">
      <c r="A365" s="3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1.25" customHeight="1" x14ac:dyDescent="0.25">
      <c r="A366" s="3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1.25" customHeight="1" x14ac:dyDescent="0.25">
      <c r="A367" s="3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1.25" customHeight="1" x14ac:dyDescent="0.25">
      <c r="A368" s="3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1.25" customHeight="1" x14ac:dyDescent="0.25">
      <c r="A369" s="3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1.25" customHeight="1" x14ac:dyDescent="0.25">
      <c r="A370" s="3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1.25" customHeight="1" x14ac:dyDescent="0.25">
      <c r="A371" s="3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1.25" customHeight="1" x14ac:dyDescent="0.25">
      <c r="A372" s="3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1.25" customHeight="1" x14ac:dyDescent="0.25">
      <c r="A373" s="3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1.25" customHeight="1" x14ac:dyDescent="0.25">
      <c r="A374" s="3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1.25" customHeight="1" x14ac:dyDescent="0.25">
      <c r="A375" s="3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1.25" customHeight="1" x14ac:dyDescent="0.25">
      <c r="A376" s="3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1.25" customHeight="1" x14ac:dyDescent="0.25">
      <c r="A377" s="3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1.25" customHeight="1" x14ac:dyDescent="0.25">
      <c r="A378" s="3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1.25" customHeight="1" x14ac:dyDescent="0.25">
      <c r="A379" s="3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1.25" customHeight="1" x14ac:dyDescent="0.25">
      <c r="A380" s="3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1.25" customHeight="1" x14ac:dyDescent="0.25">
      <c r="A381" s="3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1.25" customHeight="1" x14ac:dyDescent="0.25">
      <c r="A382" s="3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1.25" customHeight="1" x14ac:dyDescent="0.25">
      <c r="A383" s="3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1.25" customHeight="1" x14ac:dyDescent="0.25">
      <c r="A384" s="3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1.25" customHeight="1" x14ac:dyDescent="0.25">
      <c r="A385" s="3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1.25" customHeight="1" x14ac:dyDescent="0.25">
      <c r="A386" s="3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1.25" customHeight="1" x14ac:dyDescent="0.25">
      <c r="A387" s="3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1.25" customHeight="1" x14ac:dyDescent="0.25">
      <c r="A388" s="3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1.25" customHeight="1" x14ac:dyDescent="0.25">
      <c r="A389" s="3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1.25" customHeight="1" x14ac:dyDescent="0.25">
      <c r="A390" s="3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1.25" customHeight="1" x14ac:dyDescent="0.25">
      <c r="A391" s="3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1.25" customHeight="1" x14ac:dyDescent="0.25">
      <c r="A392" s="3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1.25" customHeight="1" x14ac:dyDescent="0.25">
      <c r="A393" s="3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1.25" customHeight="1" x14ac:dyDescent="0.25">
      <c r="A394" s="3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1.25" customHeight="1" x14ac:dyDescent="0.25">
      <c r="A395" s="3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1.25" customHeight="1" x14ac:dyDescent="0.25">
      <c r="A396" s="3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1.25" customHeight="1" x14ac:dyDescent="0.25">
      <c r="A397" s="3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1.25" customHeight="1" x14ac:dyDescent="0.25">
      <c r="A398" s="3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1.25" customHeight="1" x14ac:dyDescent="0.25">
      <c r="A399" s="3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1.25" customHeight="1" x14ac:dyDescent="0.25">
      <c r="A400" s="3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1.25" customHeight="1" x14ac:dyDescent="0.25">
      <c r="A401" s="3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1.25" customHeight="1" x14ac:dyDescent="0.25">
      <c r="A402" s="3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1.25" customHeight="1" x14ac:dyDescent="0.25">
      <c r="A403" s="3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1.25" customHeight="1" x14ac:dyDescent="0.25">
      <c r="A404" s="3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1.25" customHeight="1" x14ac:dyDescent="0.25">
      <c r="A405" s="3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1.25" customHeight="1" x14ac:dyDescent="0.25">
      <c r="A406" s="3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1.25" customHeight="1" x14ac:dyDescent="0.25">
      <c r="A407" s="3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1.25" customHeight="1" x14ac:dyDescent="0.25">
      <c r="A408" s="3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1.25" customHeight="1" x14ac:dyDescent="0.25">
      <c r="A409" s="3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1.25" customHeight="1" x14ac:dyDescent="0.25">
      <c r="A410" s="3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1.25" customHeight="1" x14ac:dyDescent="0.25">
      <c r="A411" s="3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1.25" customHeight="1" x14ac:dyDescent="0.25">
      <c r="A412" s="3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1.25" customHeight="1" x14ac:dyDescent="0.25">
      <c r="A413" s="3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1.25" customHeight="1" x14ac:dyDescent="0.25">
      <c r="A414" s="3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1.25" customHeight="1" x14ac:dyDescent="0.25">
      <c r="A415" s="3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1.25" customHeight="1" x14ac:dyDescent="0.25">
      <c r="A416" s="3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1.25" customHeight="1" x14ac:dyDescent="0.25">
      <c r="A417" s="3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1.25" customHeight="1" x14ac:dyDescent="0.25">
      <c r="A418" s="3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1.25" customHeight="1" x14ac:dyDescent="0.25">
      <c r="A419" s="3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1.25" customHeight="1" x14ac:dyDescent="0.25">
      <c r="A420" s="3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1.25" customHeight="1" x14ac:dyDescent="0.25">
      <c r="A421" s="3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1.25" customHeight="1" x14ac:dyDescent="0.25">
      <c r="A422" s="3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1.25" customHeight="1" x14ac:dyDescent="0.25">
      <c r="A423" s="3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1.25" customHeight="1" x14ac:dyDescent="0.25">
      <c r="A424" s="3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1.25" customHeight="1" x14ac:dyDescent="0.25">
      <c r="A425" s="3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1.25" customHeight="1" x14ac:dyDescent="0.25">
      <c r="A426" s="3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1.25" customHeight="1" x14ac:dyDescent="0.25">
      <c r="A427" s="3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1.25" customHeight="1" x14ac:dyDescent="0.25">
      <c r="A428" s="3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1.25" customHeight="1" x14ac:dyDescent="0.25">
      <c r="A429" s="3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1.25" customHeight="1" x14ac:dyDescent="0.25">
      <c r="A430" s="3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1.25" customHeight="1" x14ac:dyDescent="0.25">
      <c r="A431" s="3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1.25" customHeight="1" x14ac:dyDescent="0.25">
      <c r="A432" s="3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1.25" customHeight="1" x14ac:dyDescent="0.25">
      <c r="A433" s="3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1.25" customHeight="1" x14ac:dyDescent="0.25">
      <c r="A434" s="3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1.25" customHeight="1" x14ac:dyDescent="0.25">
      <c r="A435" s="3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1.25" customHeight="1" x14ac:dyDescent="0.25">
      <c r="A436" s="3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1.25" customHeight="1" x14ac:dyDescent="0.25">
      <c r="A437" s="3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1.25" customHeight="1" x14ac:dyDescent="0.25">
      <c r="A438" s="3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1.25" customHeight="1" x14ac:dyDescent="0.25">
      <c r="A439" s="3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1.25" customHeight="1" x14ac:dyDescent="0.25">
      <c r="A440" s="3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1.25" customHeight="1" x14ac:dyDescent="0.25">
      <c r="A441" s="3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1.25" customHeight="1" x14ac:dyDescent="0.25">
      <c r="A442" s="3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1.25" customHeight="1" x14ac:dyDescent="0.25">
      <c r="A443" s="3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1.25" customHeight="1" x14ac:dyDescent="0.25">
      <c r="A444" s="3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1.25" customHeight="1" x14ac:dyDescent="0.25">
      <c r="A445" s="3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1.25" customHeight="1" x14ac:dyDescent="0.25">
      <c r="A446" s="3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1.25" customHeight="1" x14ac:dyDescent="0.25">
      <c r="A447" s="3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1.25" customHeight="1" x14ac:dyDescent="0.25">
      <c r="A448" s="3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1.25" customHeight="1" x14ac:dyDescent="0.25">
      <c r="A449" s="3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1.25" customHeight="1" x14ac:dyDescent="0.25">
      <c r="A450" s="3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1.25" customHeight="1" x14ac:dyDescent="0.25">
      <c r="A451" s="3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1.25" customHeight="1" x14ac:dyDescent="0.25">
      <c r="A452" s="3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1.25" customHeight="1" x14ac:dyDescent="0.25">
      <c r="A453" s="3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1.25" customHeight="1" x14ac:dyDescent="0.25">
      <c r="A454" s="3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1.25" customHeight="1" x14ac:dyDescent="0.25">
      <c r="A455" s="3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1.25" customHeight="1" x14ac:dyDescent="0.25">
      <c r="A456" s="3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1.25" customHeight="1" x14ac:dyDescent="0.25">
      <c r="A457" s="3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1.25" customHeight="1" x14ac:dyDescent="0.25">
      <c r="A458" s="3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1.25" customHeight="1" x14ac:dyDescent="0.25">
      <c r="A459" s="3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1.25" customHeight="1" x14ac:dyDescent="0.25">
      <c r="A460" s="3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1.25" customHeight="1" x14ac:dyDescent="0.25">
      <c r="A461" s="3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1.25" customHeight="1" x14ac:dyDescent="0.25">
      <c r="A462" s="3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1.25" customHeight="1" x14ac:dyDescent="0.25">
      <c r="A463" s="3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1.25" customHeight="1" x14ac:dyDescent="0.25">
      <c r="A464" s="3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1.25" customHeight="1" x14ac:dyDescent="0.25">
      <c r="A465" s="3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1.25" customHeight="1" x14ac:dyDescent="0.25">
      <c r="A466" s="3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1.25" customHeight="1" x14ac:dyDescent="0.25">
      <c r="A467" s="3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1.25" customHeight="1" x14ac:dyDescent="0.25">
      <c r="A468" s="3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1.25" customHeight="1" x14ac:dyDescent="0.25">
      <c r="A469" s="3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1.25" customHeight="1" x14ac:dyDescent="0.25">
      <c r="A470" s="3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1.25" customHeight="1" x14ac:dyDescent="0.25">
      <c r="A471" s="3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1.25" customHeight="1" x14ac:dyDescent="0.25">
      <c r="A472" s="3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1.25" customHeight="1" x14ac:dyDescent="0.25">
      <c r="A473" s="3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1.25" customHeight="1" x14ac:dyDescent="0.25">
      <c r="A474" s="3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1.25" customHeight="1" x14ac:dyDescent="0.25">
      <c r="A475" s="3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1.25" customHeight="1" x14ac:dyDescent="0.25">
      <c r="A476" s="3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1.25" customHeight="1" x14ac:dyDescent="0.25">
      <c r="A477" s="3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1.25" customHeight="1" x14ac:dyDescent="0.25">
      <c r="A478" s="3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1.25" customHeight="1" x14ac:dyDescent="0.25">
      <c r="A479" s="3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1.25" customHeight="1" x14ac:dyDescent="0.25">
      <c r="A480" s="3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1.25" customHeight="1" x14ac:dyDescent="0.25">
      <c r="A481" s="3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1.25" customHeight="1" x14ac:dyDescent="0.25">
      <c r="A482" s="3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1.25" customHeight="1" x14ac:dyDescent="0.25">
      <c r="A483" s="3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1.25" customHeight="1" x14ac:dyDescent="0.25">
      <c r="A484" s="3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1.25" customHeight="1" x14ac:dyDescent="0.25">
      <c r="A485" s="3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1.25" customHeight="1" x14ac:dyDescent="0.25">
      <c r="A486" s="3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1.25" customHeight="1" x14ac:dyDescent="0.25">
      <c r="A487" s="3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1.25" customHeight="1" x14ac:dyDescent="0.25">
      <c r="A488" s="3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1.25" customHeight="1" x14ac:dyDescent="0.25">
      <c r="A489" s="3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1.25" customHeight="1" x14ac:dyDescent="0.25">
      <c r="A490" s="3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1.25" customHeight="1" x14ac:dyDescent="0.25">
      <c r="A491" s="3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1.25" customHeight="1" x14ac:dyDescent="0.25">
      <c r="A492" s="3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1.25" customHeight="1" x14ac:dyDescent="0.25">
      <c r="A493" s="3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1.25" customHeight="1" x14ac:dyDescent="0.25">
      <c r="A494" s="3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1.25" customHeight="1" x14ac:dyDescent="0.25">
      <c r="A495" s="3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1.25" customHeight="1" x14ac:dyDescent="0.25">
      <c r="A496" s="3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1.25" customHeight="1" x14ac:dyDescent="0.25">
      <c r="A497" s="3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1.25" customHeight="1" x14ac:dyDescent="0.25">
      <c r="A498" s="3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1.25" customHeight="1" x14ac:dyDescent="0.25">
      <c r="A499" s="3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1.25" customHeight="1" x14ac:dyDescent="0.25">
      <c r="A500" s="3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1.25" customHeight="1" x14ac:dyDescent="0.25">
      <c r="A501" s="3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1.25" customHeight="1" x14ac:dyDescent="0.25">
      <c r="A502" s="3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1.25" customHeight="1" x14ac:dyDescent="0.25">
      <c r="A503" s="3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1.25" customHeight="1" x14ac:dyDescent="0.25">
      <c r="A504" s="3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1.25" customHeight="1" x14ac:dyDescent="0.25">
      <c r="A505" s="3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1.25" customHeight="1" x14ac:dyDescent="0.25">
      <c r="A506" s="3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1.25" customHeight="1" x14ac:dyDescent="0.25">
      <c r="A507" s="3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1.25" customHeight="1" x14ac:dyDescent="0.25">
      <c r="A508" s="3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1.25" customHeight="1" x14ac:dyDescent="0.25">
      <c r="A509" s="3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1.25" customHeight="1" x14ac:dyDescent="0.25">
      <c r="A510" s="3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1.25" customHeight="1" x14ac:dyDescent="0.25">
      <c r="A511" s="3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1.25" customHeight="1" x14ac:dyDescent="0.25">
      <c r="A512" s="3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1.25" customHeight="1" x14ac:dyDescent="0.25">
      <c r="A513" s="3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1.25" customHeight="1" x14ac:dyDescent="0.25">
      <c r="A514" s="3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1.25" customHeight="1" x14ac:dyDescent="0.25">
      <c r="A515" s="3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1.25" customHeight="1" x14ac:dyDescent="0.25">
      <c r="A516" s="3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1.25" customHeight="1" x14ac:dyDescent="0.25">
      <c r="A517" s="3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1.25" customHeight="1" x14ac:dyDescent="0.25">
      <c r="A518" s="3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1.25" customHeight="1" x14ac:dyDescent="0.25">
      <c r="A519" s="3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1.25" customHeight="1" x14ac:dyDescent="0.25">
      <c r="A520" s="3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1.25" customHeight="1" x14ac:dyDescent="0.25">
      <c r="A521" s="3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1.25" customHeight="1" x14ac:dyDescent="0.25">
      <c r="A522" s="3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1.25" customHeight="1" x14ac:dyDescent="0.25">
      <c r="A523" s="3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1.25" customHeight="1" x14ac:dyDescent="0.25">
      <c r="A524" s="3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1.25" customHeight="1" x14ac:dyDescent="0.25">
      <c r="A525" s="3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1.25" customHeight="1" x14ac:dyDescent="0.25">
      <c r="A526" s="3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1.25" customHeight="1" x14ac:dyDescent="0.25">
      <c r="A527" s="3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1.25" customHeight="1" x14ac:dyDescent="0.25">
      <c r="A528" s="3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1.25" customHeight="1" x14ac:dyDescent="0.25">
      <c r="A529" s="3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1.25" customHeight="1" x14ac:dyDescent="0.25">
      <c r="A530" s="3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1.25" customHeight="1" x14ac:dyDescent="0.25">
      <c r="A531" s="3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1.25" customHeight="1" x14ac:dyDescent="0.25">
      <c r="A532" s="3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1.25" customHeight="1" x14ac:dyDescent="0.25">
      <c r="A533" s="3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1.25" customHeight="1" x14ac:dyDescent="0.25">
      <c r="A534" s="3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1.25" customHeight="1" x14ac:dyDescent="0.25">
      <c r="A535" s="3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1.25" customHeight="1" x14ac:dyDescent="0.25">
      <c r="A536" s="3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1.25" customHeight="1" x14ac:dyDescent="0.25">
      <c r="A537" s="3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1.25" customHeight="1" x14ac:dyDescent="0.25">
      <c r="A538" s="3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1.25" customHeight="1" x14ac:dyDescent="0.25">
      <c r="A539" s="3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1.25" customHeight="1" x14ac:dyDescent="0.25">
      <c r="A540" s="3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1.25" customHeight="1" x14ac:dyDescent="0.25">
      <c r="A541" s="3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1.25" customHeight="1" x14ac:dyDescent="0.25">
      <c r="A542" s="3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1.25" customHeight="1" x14ac:dyDescent="0.25">
      <c r="A543" s="3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1.25" customHeight="1" x14ac:dyDescent="0.25">
      <c r="A544" s="3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1.25" customHeight="1" x14ac:dyDescent="0.25">
      <c r="A545" s="3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1.25" customHeight="1" x14ac:dyDescent="0.25">
      <c r="A546" s="3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1.25" customHeight="1" x14ac:dyDescent="0.25">
      <c r="A547" s="3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1.25" customHeight="1" x14ac:dyDescent="0.25">
      <c r="A548" s="3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1.25" customHeight="1" x14ac:dyDescent="0.25">
      <c r="A549" s="3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1.25" customHeight="1" x14ac:dyDescent="0.25">
      <c r="A550" s="3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1.25" customHeight="1" x14ac:dyDescent="0.25">
      <c r="A551" s="3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1.25" customHeight="1" x14ac:dyDescent="0.25">
      <c r="A552" s="3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1.25" customHeight="1" x14ac:dyDescent="0.25">
      <c r="A553" s="3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1.25" customHeight="1" x14ac:dyDescent="0.25">
      <c r="A554" s="3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1.25" customHeight="1" x14ac:dyDescent="0.25">
      <c r="A555" s="3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1.25" customHeight="1" x14ac:dyDescent="0.25">
      <c r="A556" s="3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1.25" customHeight="1" x14ac:dyDescent="0.25">
      <c r="A557" s="3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1.25" customHeight="1" x14ac:dyDescent="0.25">
      <c r="A558" s="3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1.25" customHeight="1" x14ac:dyDescent="0.25">
      <c r="A559" s="3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1.25" customHeight="1" x14ac:dyDescent="0.25">
      <c r="A560" s="3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1.25" customHeight="1" x14ac:dyDescent="0.25">
      <c r="A561" s="3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1.25" customHeight="1" x14ac:dyDescent="0.25">
      <c r="A562" s="3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1.25" customHeight="1" x14ac:dyDescent="0.25">
      <c r="A563" s="3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1.25" customHeight="1" x14ac:dyDescent="0.25">
      <c r="A564" s="3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1.25" customHeight="1" x14ac:dyDescent="0.25">
      <c r="A565" s="3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1.25" customHeight="1" x14ac:dyDescent="0.25">
      <c r="A566" s="3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1.25" customHeight="1" x14ac:dyDescent="0.25">
      <c r="A567" s="3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1.25" customHeight="1" x14ac:dyDescent="0.25">
      <c r="A568" s="3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1.25" customHeight="1" x14ac:dyDescent="0.25">
      <c r="A569" s="3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1.25" customHeight="1" x14ac:dyDescent="0.25">
      <c r="A570" s="3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1.25" customHeight="1" x14ac:dyDescent="0.25">
      <c r="A571" s="3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1.25" customHeight="1" x14ac:dyDescent="0.25">
      <c r="A572" s="3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1.25" customHeight="1" x14ac:dyDescent="0.25">
      <c r="A573" s="3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1.25" customHeight="1" x14ac:dyDescent="0.25">
      <c r="A574" s="3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1.25" customHeight="1" x14ac:dyDescent="0.25">
      <c r="A575" s="3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1.25" customHeight="1" x14ac:dyDescent="0.25">
      <c r="A576" s="3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1.25" customHeight="1" x14ac:dyDescent="0.25">
      <c r="A577" s="3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1.25" customHeight="1" x14ac:dyDescent="0.25">
      <c r="A578" s="3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1.25" customHeight="1" x14ac:dyDescent="0.25">
      <c r="A579" s="3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1.25" customHeight="1" x14ac:dyDescent="0.25">
      <c r="A580" s="3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1.25" customHeight="1" x14ac:dyDescent="0.25">
      <c r="A581" s="3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1.25" customHeight="1" x14ac:dyDescent="0.25">
      <c r="A582" s="3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1.25" customHeight="1" x14ac:dyDescent="0.25">
      <c r="A583" s="3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1.25" customHeight="1" x14ac:dyDescent="0.25">
      <c r="A584" s="3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1.25" customHeight="1" x14ac:dyDescent="0.25">
      <c r="A585" s="3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1.25" customHeight="1" x14ac:dyDescent="0.25">
      <c r="A586" s="3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1.25" customHeight="1" x14ac:dyDescent="0.25">
      <c r="A587" s="3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1.25" customHeight="1" x14ac:dyDescent="0.25">
      <c r="A588" s="3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1.25" customHeight="1" x14ac:dyDescent="0.25">
      <c r="A589" s="3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1.25" customHeight="1" x14ac:dyDescent="0.25">
      <c r="A590" s="3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1.25" customHeight="1" x14ac:dyDescent="0.25">
      <c r="A591" s="3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1.25" customHeight="1" x14ac:dyDescent="0.25">
      <c r="A592" s="3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1.25" customHeight="1" x14ac:dyDescent="0.25">
      <c r="A593" s="3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1.25" customHeight="1" x14ac:dyDescent="0.25">
      <c r="A594" s="3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1.25" customHeight="1" x14ac:dyDescent="0.25">
      <c r="A595" s="3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1.25" customHeight="1" x14ac:dyDescent="0.25">
      <c r="A596" s="3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1.25" customHeight="1" x14ac:dyDescent="0.25">
      <c r="A597" s="3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1.25" customHeight="1" x14ac:dyDescent="0.25">
      <c r="A598" s="3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1.25" customHeight="1" x14ac:dyDescent="0.25">
      <c r="A599" s="3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1.25" customHeight="1" x14ac:dyDescent="0.25">
      <c r="A600" s="3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1.25" customHeight="1" x14ac:dyDescent="0.25">
      <c r="A601" s="3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1.25" customHeight="1" x14ac:dyDescent="0.25">
      <c r="A602" s="3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1.25" customHeight="1" x14ac:dyDescent="0.25">
      <c r="A603" s="3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1.25" customHeight="1" x14ac:dyDescent="0.25">
      <c r="A604" s="3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1.25" customHeight="1" x14ac:dyDescent="0.25">
      <c r="A605" s="3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1.25" customHeight="1" x14ac:dyDescent="0.25">
      <c r="A606" s="3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1.25" customHeight="1" x14ac:dyDescent="0.25">
      <c r="A607" s="3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1.25" customHeight="1" x14ac:dyDescent="0.25">
      <c r="A608" s="3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1.25" customHeight="1" x14ac:dyDescent="0.25">
      <c r="A609" s="3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1.25" customHeight="1" x14ac:dyDescent="0.25">
      <c r="A610" s="3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1.25" customHeight="1" x14ac:dyDescent="0.25">
      <c r="A611" s="3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1.25" customHeight="1" x14ac:dyDescent="0.25">
      <c r="A612" s="3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1.25" customHeight="1" x14ac:dyDescent="0.25">
      <c r="A613" s="3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1.25" customHeight="1" x14ac:dyDescent="0.25">
      <c r="A614" s="3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1.25" customHeight="1" x14ac:dyDescent="0.25">
      <c r="A615" s="3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1.25" customHeight="1" x14ac:dyDescent="0.25">
      <c r="A616" s="3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1.25" customHeight="1" x14ac:dyDescent="0.25">
      <c r="A617" s="3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1.25" customHeight="1" x14ac:dyDescent="0.25">
      <c r="A618" s="3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1.25" customHeight="1" x14ac:dyDescent="0.25">
      <c r="A619" s="3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1.25" customHeight="1" x14ac:dyDescent="0.25">
      <c r="A620" s="3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1.25" customHeight="1" x14ac:dyDescent="0.25">
      <c r="A621" s="3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1.25" customHeight="1" x14ac:dyDescent="0.25">
      <c r="A622" s="3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1.25" customHeight="1" x14ac:dyDescent="0.25">
      <c r="A623" s="3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1.25" customHeight="1" x14ac:dyDescent="0.25">
      <c r="A624" s="3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1.25" customHeight="1" x14ac:dyDescent="0.25">
      <c r="A625" s="3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1.25" customHeight="1" x14ac:dyDescent="0.25">
      <c r="A626" s="3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1.25" customHeight="1" x14ac:dyDescent="0.25">
      <c r="A627" s="3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1.25" customHeight="1" x14ac:dyDescent="0.25">
      <c r="A628" s="3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1.25" customHeight="1" x14ac:dyDescent="0.25">
      <c r="A629" s="3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1.25" customHeight="1" x14ac:dyDescent="0.25">
      <c r="A630" s="3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1.25" customHeight="1" x14ac:dyDescent="0.25">
      <c r="A631" s="3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1.25" customHeight="1" x14ac:dyDescent="0.25">
      <c r="A632" s="3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1.25" customHeight="1" x14ac:dyDescent="0.25">
      <c r="A633" s="3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1.25" customHeight="1" x14ac:dyDescent="0.25">
      <c r="A634" s="3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1.25" customHeight="1" x14ac:dyDescent="0.25">
      <c r="A635" s="3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1.25" customHeight="1" x14ac:dyDescent="0.25">
      <c r="A636" s="3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1.25" customHeight="1" x14ac:dyDescent="0.25">
      <c r="A637" s="3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1.25" customHeight="1" x14ac:dyDescent="0.25">
      <c r="A638" s="3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1.25" customHeight="1" x14ac:dyDescent="0.25">
      <c r="A639" s="3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1.25" customHeight="1" x14ac:dyDescent="0.25">
      <c r="A640" s="3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1.25" customHeight="1" x14ac:dyDescent="0.25">
      <c r="A641" s="3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1.25" customHeight="1" x14ac:dyDescent="0.25">
      <c r="A642" s="3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1.25" customHeight="1" x14ac:dyDescent="0.25">
      <c r="A643" s="3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1.25" customHeight="1" x14ac:dyDescent="0.25">
      <c r="A644" s="3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1.25" customHeight="1" x14ac:dyDescent="0.25">
      <c r="A645" s="3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1.25" customHeight="1" x14ac:dyDescent="0.25">
      <c r="A646" s="3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1.25" customHeight="1" x14ac:dyDescent="0.25">
      <c r="A647" s="3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1.25" customHeight="1" x14ac:dyDescent="0.25">
      <c r="A648" s="3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1.25" customHeight="1" x14ac:dyDescent="0.25">
      <c r="A649" s="3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1.25" customHeight="1" x14ac:dyDescent="0.25">
      <c r="A650" s="3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1.25" customHeight="1" x14ac:dyDescent="0.25">
      <c r="A651" s="3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1.25" customHeight="1" x14ac:dyDescent="0.25">
      <c r="A652" s="3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1.25" customHeight="1" x14ac:dyDescent="0.25">
      <c r="A653" s="3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1.25" customHeight="1" x14ac:dyDescent="0.25">
      <c r="A654" s="3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1.25" customHeight="1" x14ac:dyDescent="0.25">
      <c r="A655" s="3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1.25" customHeight="1" x14ac:dyDescent="0.25">
      <c r="A656" s="3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1.25" customHeight="1" x14ac:dyDescent="0.25">
      <c r="A657" s="3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1.25" customHeight="1" x14ac:dyDescent="0.25">
      <c r="A658" s="3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1.25" customHeight="1" x14ac:dyDescent="0.25">
      <c r="A659" s="3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1.25" customHeight="1" x14ac:dyDescent="0.25">
      <c r="A660" s="3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1.25" customHeight="1" x14ac:dyDescent="0.25">
      <c r="A661" s="3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1.25" customHeight="1" x14ac:dyDescent="0.25">
      <c r="A662" s="3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1.25" customHeight="1" x14ac:dyDescent="0.25">
      <c r="A663" s="3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1.25" customHeight="1" x14ac:dyDescent="0.25">
      <c r="A664" s="3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1.25" customHeight="1" x14ac:dyDescent="0.25">
      <c r="A665" s="3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1.25" customHeight="1" x14ac:dyDescent="0.25">
      <c r="A666" s="3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1.25" customHeight="1" x14ac:dyDescent="0.25">
      <c r="A667" s="3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1.25" customHeight="1" x14ac:dyDescent="0.25">
      <c r="A668" s="3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1.25" customHeight="1" x14ac:dyDescent="0.25">
      <c r="A669" s="3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1.25" customHeight="1" x14ac:dyDescent="0.25">
      <c r="A670" s="3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1.25" customHeight="1" x14ac:dyDescent="0.25">
      <c r="A671" s="3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1.25" customHeight="1" x14ac:dyDescent="0.25">
      <c r="A672" s="3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1.25" customHeight="1" x14ac:dyDescent="0.25">
      <c r="A673" s="3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1.25" customHeight="1" x14ac:dyDescent="0.25">
      <c r="A674" s="3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1.25" customHeight="1" x14ac:dyDescent="0.25">
      <c r="A675" s="3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1.25" customHeight="1" x14ac:dyDescent="0.25">
      <c r="A676" s="3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1.25" customHeight="1" x14ac:dyDescent="0.25">
      <c r="A677" s="3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1.25" customHeight="1" x14ac:dyDescent="0.25">
      <c r="A678" s="3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1.25" customHeight="1" x14ac:dyDescent="0.25">
      <c r="A679" s="3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1.25" customHeight="1" x14ac:dyDescent="0.25">
      <c r="A680" s="3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1.25" customHeight="1" x14ac:dyDescent="0.25">
      <c r="A681" s="3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1.25" customHeight="1" x14ac:dyDescent="0.25">
      <c r="A682" s="3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1.25" customHeight="1" x14ac:dyDescent="0.25">
      <c r="A683" s="3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1.25" customHeight="1" x14ac:dyDescent="0.25">
      <c r="A684" s="3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1.25" customHeight="1" x14ac:dyDescent="0.25">
      <c r="A685" s="3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1.25" customHeight="1" x14ac:dyDescent="0.25">
      <c r="A686" s="3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1.25" customHeight="1" x14ac:dyDescent="0.25">
      <c r="A687" s="3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1.25" customHeight="1" x14ac:dyDescent="0.25">
      <c r="A688" s="3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1.25" customHeight="1" x14ac:dyDescent="0.25">
      <c r="A689" s="3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1.25" customHeight="1" x14ac:dyDescent="0.25">
      <c r="A690" s="3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1.25" customHeight="1" x14ac:dyDescent="0.25">
      <c r="A691" s="3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1.25" customHeight="1" x14ac:dyDescent="0.25">
      <c r="A692" s="3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1.25" customHeight="1" x14ac:dyDescent="0.25">
      <c r="A693" s="3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1.25" customHeight="1" x14ac:dyDescent="0.25">
      <c r="A694" s="3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1.25" customHeight="1" x14ac:dyDescent="0.25">
      <c r="A695" s="3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1.25" customHeight="1" x14ac:dyDescent="0.25">
      <c r="A696" s="3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1.25" customHeight="1" x14ac:dyDescent="0.25">
      <c r="A697" s="3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1.25" customHeight="1" x14ac:dyDescent="0.25">
      <c r="A698" s="3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1.25" customHeight="1" x14ac:dyDescent="0.25">
      <c r="A699" s="3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1.25" customHeight="1" x14ac:dyDescent="0.25">
      <c r="A700" s="3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1.25" customHeight="1" x14ac:dyDescent="0.25">
      <c r="A701" s="3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1.25" customHeight="1" x14ac:dyDescent="0.25">
      <c r="A702" s="3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1.25" customHeight="1" x14ac:dyDescent="0.25">
      <c r="A703" s="3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1.25" customHeight="1" x14ac:dyDescent="0.25">
      <c r="A704" s="3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1.25" customHeight="1" x14ac:dyDescent="0.25">
      <c r="A705" s="3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1.25" customHeight="1" x14ac:dyDescent="0.25">
      <c r="A706" s="3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1.25" customHeight="1" x14ac:dyDescent="0.25">
      <c r="A707" s="3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1.25" customHeight="1" x14ac:dyDescent="0.25">
      <c r="A708" s="3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1.25" customHeight="1" x14ac:dyDescent="0.25">
      <c r="A709" s="3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1.25" customHeight="1" x14ac:dyDescent="0.25">
      <c r="A710" s="3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1.25" customHeight="1" x14ac:dyDescent="0.25">
      <c r="A711" s="3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1.25" customHeight="1" x14ac:dyDescent="0.25">
      <c r="A712" s="3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1.25" customHeight="1" x14ac:dyDescent="0.25">
      <c r="A713" s="3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1.25" customHeight="1" x14ac:dyDescent="0.25">
      <c r="A714" s="3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1.25" customHeight="1" x14ac:dyDescent="0.25">
      <c r="A715" s="3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1.25" customHeight="1" x14ac:dyDescent="0.25">
      <c r="A716" s="3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1.25" customHeight="1" x14ac:dyDescent="0.25">
      <c r="A717" s="3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1.25" customHeight="1" x14ac:dyDescent="0.25">
      <c r="A718" s="3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1.25" customHeight="1" x14ac:dyDescent="0.25">
      <c r="A719" s="3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1.25" customHeight="1" x14ac:dyDescent="0.25">
      <c r="A720" s="3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1.25" customHeight="1" x14ac:dyDescent="0.25">
      <c r="A721" s="3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1.25" customHeight="1" x14ac:dyDescent="0.25">
      <c r="A722" s="3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1.25" customHeight="1" x14ac:dyDescent="0.25">
      <c r="A723" s="3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1.25" customHeight="1" x14ac:dyDescent="0.25">
      <c r="A724" s="3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1.25" customHeight="1" x14ac:dyDescent="0.25">
      <c r="A725" s="3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1.25" customHeight="1" x14ac:dyDescent="0.25">
      <c r="A726" s="3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1.25" customHeight="1" x14ac:dyDescent="0.25">
      <c r="A727" s="3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1.25" customHeight="1" x14ac:dyDescent="0.25">
      <c r="A728" s="3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1.25" customHeight="1" x14ac:dyDescent="0.25">
      <c r="A729" s="3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1.25" customHeight="1" x14ac:dyDescent="0.25">
      <c r="A730" s="3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1.25" customHeight="1" x14ac:dyDescent="0.25">
      <c r="A731" s="3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1.25" customHeight="1" x14ac:dyDescent="0.25">
      <c r="A732" s="3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1.25" customHeight="1" x14ac:dyDescent="0.25">
      <c r="A733" s="3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1.25" customHeight="1" x14ac:dyDescent="0.25">
      <c r="A734" s="3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1.25" customHeight="1" x14ac:dyDescent="0.25">
      <c r="A735" s="3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1.25" customHeight="1" x14ac:dyDescent="0.25">
      <c r="A736" s="3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1.25" customHeight="1" x14ac:dyDescent="0.25">
      <c r="A737" s="3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1.25" customHeight="1" x14ac:dyDescent="0.25">
      <c r="A738" s="3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1.25" customHeight="1" x14ac:dyDescent="0.25">
      <c r="A739" s="3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1.25" customHeight="1" x14ac:dyDescent="0.25">
      <c r="A740" s="3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1.25" customHeight="1" x14ac:dyDescent="0.25">
      <c r="A741" s="3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1.25" customHeight="1" x14ac:dyDescent="0.25">
      <c r="A742" s="3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1.25" customHeight="1" x14ac:dyDescent="0.25">
      <c r="A743" s="3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1.25" customHeight="1" x14ac:dyDescent="0.25">
      <c r="A744" s="3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1.25" customHeight="1" x14ac:dyDescent="0.25">
      <c r="A745" s="3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1.25" customHeight="1" x14ac:dyDescent="0.25">
      <c r="A746" s="3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1.25" customHeight="1" x14ac:dyDescent="0.25">
      <c r="A747" s="3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1.25" customHeight="1" x14ac:dyDescent="0.25">
      <c r="A748" s="3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1.25" customHeight="1" x14ac:dyDescent="0.25">
      <c r="A749" s="3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1.25" customHeight="1" x14ac:dyDescent="0.25">
      <c r="A750" s="3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1.25" customHeight="1" x14ac:dyDescent="0.25">
      <c r="A751" s="3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1.25" customHeight="1" x14ac:dyDescent="0.25">
      <c r="A752" s="3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1.25" customHeight="1" x14ac:dyDescent="0.25">
      <c r="A753" s="3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1.25" customHeight="1" x14ac:dyDescent="0.25">
      <c r="A754" s="3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1.25" customHeight="1" x14ac:dyDescent="0.25">
      <c r="A755" s="3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1.25" customHeight="1" x14ac:dyDescent="0.25">
      <c r="A756" s="3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1.25" customHeight="1" x14ac:dyDescent="0.25">
      <c r="A757" s="3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1.25" customHeight="1" x14ac:dyDescent="0.25">
      <c r="A758" s="3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1.25" customHeight="1" x14ac:dyDescent="0.25">
      <c r="A759" s="3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1.25" customHeight="1" x14ac:dyDescent="0.25">
      <c r="A760" s="3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1.25" customHeight="1" x14ac:dyDescent="0.25">
      <c r="A761" s="3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1.25" customHeight="1" x14ac:dyDescent="0.25">
      <c r="A762" s="3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1.25" customHeight="1" x14ac:dyDescent="0.25">
      <c r="A763" s="3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1.25" customHeight="1" x14ac:dyDescent="0.25">
      <c r="A764" s="3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1.25" customHeight="1" x14ac:dyDescent="0.25">
      <c r="A765" s="3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1.25" customHeight="1" x14ac:dyDescent="0.25">
      <c r="A766" s="3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1.25" customHeight="1" x14ac:dyDescent="0.25">
      <c r="A767" s="3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1.25" customHeight="1" x14ac:dyDescent="0.25">
      <c r="A768" s="3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1.25" customHeight="1" x14ac:dyDescent="0.25">
      <c r="A769" s="3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1.25" customHeight="1" x14ac:dyDescent="0.25">
      <c r="A770" s="3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1.25" customHeight="1" x14ac:dyDescent="0.25">
      <c r="A771" s="3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1.25" customHeight="1" x14ac:dyDescent="0.25">
      <c r="A772" s="3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1.25" customHeight="1" x14ac:dyDescent="0.25">
      <c r="A773" s="3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1.25" customHeight="1" x14ac:dyDescent="0.25">
      <c r="A774" s="3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1.25" customHeight="1" x14ac:dyDescent="0.25">
      <c r="A775" s="3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1.25" customHeight="1" x14ac:dyDescent="0.25">
      <c r="A776" s="3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1.25" customHeight="1" x14ac:dyDescent="0.25">
      <c r="A777" s="3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1.25" customHeight="1" x14ac:dyDescent="0.25">
      <c r="A778" s="3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1.25" customHeight="1" x14ac:dyDescent="0.25">
      <c r="A779" s="3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1.25" customHeight="1" x14ac:dyDescent="0.25">
      <c r="A780" s="3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1.25" customHeight="1" x14ac:dyDescent="0.25">
      <c r="A781" s="3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1.25" customHeight="1" x14ac:dyDescent="0.25">
      <c r="A782" s="3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1.25" customHeight="1" x14ac:dyDescent="0.25">
      <c r="A783" s="3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1.25" customHeight="1" x14ac:dyDescent="0.25">
      <c r="A784" s="3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1.25" customHeight="1" x14ac:dyDescent="0.25">
      <c r="A785" s="3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1.25" customHeight="1" x14ac:dyDescent="0.25">
      <c r="A786" s="3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1.25" customHeight="1" x14ac:dyDescent="0.25">
      <c r="A787" s="3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1.25" customHeight="1" x14ac:dyDescent="0.25">
      <c r="A788" s="3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1.25" customHeight="1" x14ac:dyDescent="0.25">
      <c r="A789" s="3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1.25" customHeight="1" x14ac:dyDescent="0.25">
      <c r="A790" s="3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1.25" customHeight="1" x14ac:dyDescent="0.25">
      <c r="A791" s="3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1.25" customHeight="1" x14ac:dyDescent="0.25">
      <c r="A792" s="3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1.25" customHeight="1" x14ac:dyDescent="0.25">
      <c r="A793" s="3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1.25" customHeight="1" x14ac:dyDescent="0.25">
      <c r="A794" s="3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1.25" customHeight="1" x14ac:dyDescent="0.25">
      <c r="A795" s="3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1.25" customHeight="1" x14ac:dyDescent="0.25">
      <c r="A796" s="3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1.25" customHeight="1" x14ac:dyDescent="0.25">
      <c r="A797" s="3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1.25" customHeight="1" x14ac:dyDescent="0.25">
      <c r="A798" s="3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1.25" customHeight="1" x14ac:dyDescent="0.25">
      <c r="A799" s="3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1.25" customHeight="1" x14ac:dyDescent="0.25">
      <c r="A800" s="3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1.25" customHeight="1" x14ac:dyDescent="0.25">
      <c r="A801" s="3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1.25" customHeight="1" x14ac:dyDescent="0.25">
      <c r="A802" s="3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1.25" customHeight="1" x14ac:dyDescent="0.25">
      <c r="A803" s="3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1.25" customHeight="1" x14ac:dyDescent="0.25">
      <c r="A804" s="3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1.25" customHeight="1" x14ac:dyDescent="0.25">
      <c r="A805" s="3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1.25" customHeight="1" x14ac:dyDescent="0.25">
      <c r="A806" s="3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1.25" customHeight="1" x14ac:dyDescent="0.25">
      <c r="A807" s="3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1.25" customHeight="1" x14ac:dyDescent="0.25">
      <c r="A808" s="3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1.25" customHeight="1" x14ac:dyDescent="0.25">
      <c r="A809" s="3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1.25" customHeight="1" x14ac:dyDescent="0.25">
      <c r="A810" s="3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1.25" customHeight="1" x14ac:dyDescent="0.25">
      <c r="A811" s="3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1.25" customHeight="1" x14ac:dyDescent="0.25">
      <c r="A812" s="3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1.25" customHeight="1" x14ac:dyDescent="0.25">
      <c r="A813" s="3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1.25" customHeight="1" x14ac:dyDescent="0.25">
      <c r="A814" s="3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1.25" customHeight="1" x14ac:dyDescent="0.25">
      <c r="A815" s="3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1.25" customHeight="1" x14ac:dyDescent="0.25">
      <c r="A816" s="3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1.25" customHeight="1" x14ac:dyDescent="0.25">
      <c r="A817" s="3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1.25" customHeight="1" x14ac:dyDescent="0.25">
      <c r="A818" s="3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1.25" customHeight="1" x14ac:dyDescent="0.25">
      <c r="A819" s="3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1.25" customHeight="1" x14ac:dyDescent="0.25">
      <c r="A820" s="3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1.25" customHeight="1" x14ac:dyDescent="0.25">
      <c r="A821" s="3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1.25" customHeight="1" x14ac:dyDescent="0.25">
      <c r="A822" s="3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1.25" customHeight="1" x14ac:dyDescent="0.25">
      <c r="A823" s="3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1.25" customHeight="1" x14ac:dyDescent="0.25">
      <c r="A824" s="3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1.25" customHeight="1" x14ac:dyDescent="0.25">
      <c r="A825" s="3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1.25" customHeight="1" x14ac:dyDescent="0.25">
      <c r="A826" s="3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1.25" customHeight="1" x14ac:dyDescent="0.25">
      <c r="A827" s="3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1.25" customHeight="1" x14ac:dyDescent="0.25">
      <c r="A828" s="3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1.25" customHeight="1" x14ac:dyDescent="0.25">
      <c r="A829" s="3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1.25" customHeight="1" x14ac:dyDescent="0.25">
      <c r="A830" s="3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1.25" customHeight="1" x14ac:dyDescent="0.25">
      <c r="A831" s="3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1.25" customHeight="1" x14ac:dyDescent="0.25">
      <c r="A832" s="3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1.25" customHeight="1" x14ac:dyDescent="0.25">
      <c r="A833" s="3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1.25" customHeight="1" x14ac:dyDescent="0.25">
      <c r="A834" s="3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1.25" customHeight="1" x14ac:dyDescent="0.25">
      <c r="A835" s="3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1.25" customHeight="1" x14ac:dyDescent="0.25">
      <c r="A836" s="3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1.25" customHeight="1" x14ac:dyDescent="0.25">
      <c r="A837" s="3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1.25" customHeight="1" x14ac:dyDescent="0.25">
      <c r="A838" s="3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1.25" customHeight="1" x14ac:dyDescent="0.25">
      <c r="A839" s="3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1.25" customHeight="1" x14ac:dyDescent="0.25">
      <c r="A840" s="3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1.25" customHeight="1" x14ac:dyDescent="0.25">
      <c r="A841" s="3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1.25" customHeight="1" x14ac:dyDescent="0.25">
      <c r="A842" s="3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1.25" customHeight="1" x14ac:dyDescent="0.25">
      <c r="A843" s="3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1.25" customHeight="1" x14ac:dyDescent="0.25">
      <c r="A844" s="3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1.25" customHeight="1" x14ac:dyDescent="0.25">
      <c r="A845" s="3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1.25" customHeight="1" x14ac:dyDescent="0.25">
      <c r="A846" s="3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1.25" customHeight="1" x14ac:dyDescent="0.25">
      <c r="A847" s="3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1.25" customHeight="1" x14ac:dyDescent="0.25">
      <c r="A848" s="3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1.25" customHeight="1" x14ac:dyDescent="0.25">
      <c r="A849" s="3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1.25" customHeight="1" x14ac:dyDescent="0.25">
      <c r="A850" s="3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1.25" customHeight="1" x14ac:dyDescent="0.25">
      <c r="A851" s="3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1.25" customHeight="1" x14ac:dyDescent="0.25">
      <c r="A852" s="3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1.25" customHeight="1" x14ac:dyDescent="0.25">
      <c r="A853" s="3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1.25" customHeight="1" x14ac:dyDescent="0.25">
      <c r="A854" s="3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1.25" customHeight="1" x14ac:dyDescent="0.25">
      <c r="A855" s="3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1.25" customHeight="1" x14ac:dyDescent="0.25">
      <c r="A856" s="3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1.25" customHeight="1" x14ac:dyDescent="0.25">
      <c r="A857" s="3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1.25" customHeight="1" x14ac:dyDescent="0.25">
      <c r="A858" s="3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1.25" customHeight="1" x14ac:dyDescent="0.25">
      <c r="A859" s="3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1.25" customHeight="1" x14ac:dyDescent="0.25">
      <c r="A860" s="3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1.25" customHeight="1" x14ac:dyDescent="0.25">
      <c r="A861" s="3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1.25" customHeight="1" x14ac:dyDescent="0.25">
      <c r="A862" s="3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1.25" customHeight="1" x14ac:dyDescent="0.25">
      <c r="A863" s="3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1.25" customHeight="1" x14ac:dyDescent="0.25">
      <c r="A864" s="3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1.25" customHeight="1" x14ac:dyDescent="0.25">
      <c r="A865" s="3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1.25" customHeight="1" x14ac:dyDescent="0.25">
      <c r="A866" s="3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1.25" customHeight="1" x14ac:dyDescent="0.25">
      <c r="A867" s="3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1.25" customHeight="1" x14ac:dyDescent="0.25">
      <c r="A868" s="3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1.25" customHeight="1" x14ac:dyDescent="0.25">
      <c r="A869" s="3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1.25" customHeight="1" x14ac:dyDescent="0.25">
      <c r="A870" s="3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1.25" customHeight="1" x14ac:dyDescent="0.25">
      <c r="A871" s="3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1.25" customHeight="1" x14ac:dyDescent="0.25">
      <c r="A872" s="3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1.25" customHeight="1" x14ac:dyDescent="0.25">
      <c r="A873" s="3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1.25" customHeight="1" x14ac:dyDescent="0.25">
      <c r="A874" s="3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1.25" customHeight="1" x14ac:dyDescent="0.25">
      <c r="A875" s="3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1.25" customHeight="1" x14ac:dyDescent="0.25">
      <c r="A876" s="3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1.25" customHeight="1" x14ac:dyDescent="0.25">
      <c r="A877" s="3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1.25" customHeight="1" x14ac:dyDescent="0.25">
      <c r="A878" s="3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1.25" customHeight="1" x14ac:dyDescent="0.25">
      <c r="A879" s="3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1.25" customHeight="1" x14ac:dyDescent="0.25">
      <c r="A880" s="3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1.25" customHeight="1" x14ac:dyDescent="0.25">
      <c r="A881" s="3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1.25" customHeight="1" x14ac:dyDescent="0.25">
      <c r="A882" s="3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1.25" customHeight="1" x14ac:dyDescent="0.25">
      <c r="A883" s="3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1.25" customHeight="1" x14ac:dyDescent="0.25">
      <c r="A884" s="3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1.25" customHeight="1" x14ac:dyDescent="0.25">
      <c r="A885" s="3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1.25" customHeight="1" x14ac:dyDescent="0.25">
      <c r="A886" s="3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1.25" customHeight="1" x14ac:dyDescent="0.25">
      <c r="A887" s="3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1.25" customHeight="1" x14ac:dyDescent="0.25">
      <c r="A888" s="3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1.25" customHeight="1" x14ac:dyDescent="0.25">
      <c r="A889" s="3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1.25" customHeight="1" x14ac:dyDescent="0.25">
      <c r="A890" s="3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1.25" customHeight="1" x14ac:dyDescent="0.25">
      <c r="A891" s="3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1.25" customHeight="1" x14ac:dyDescent="0.25">
      <c r="A892" s="3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1.25" customHeight="1" x14ac:dyDescent="0.25">
      <c r="A893" s="3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1.25" customHeight="1" x14ac:dyDescent="0.25">
      <c r="A894" s="3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1.25" customHeight="1" x14ac:dyDescent="0.25">
      <c r="A895" s="3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1.25" customHeight="1" x14ac:dyDescent="0.25">
      <c r="A896" s="3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1.25" customHeight="1" x14ac:dyDescent="0.25">
      <c r="A897" s="3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1.25" customHeight="1" x14ac:dyDescent="0.25">
      <c r="A898" s="3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1.25" customHeight="1" x14ac:dyDescent="0.25">
      <c r="A899" s="3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1.25" customHeight="1" x14ac:dyDescent="0.25">
      <c r="A900" s="3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1.25" customHeight="1" x14ac:dyDescent="0.25">
      <c r="A901" s="3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1.25" customHeight="1" x14ac:dyDescent="0.25">
      <c r="A902" s="3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1.25" customHeight="1" x14ac:dyDescent="0.25">
      <c r="A903" s="3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1.25" customHeight="1" x14ac:dyDescent="0.25">
      <c r="A904" s="3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1.25" customHeight="1" x14ac:dyDescent="0.25">
      <c r="A905" s="3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1.25" customHeight="1" x14ac:dyDescent="0.25">
      <c r="A906" s="3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1.25" customHeight="1" x14ac:dyDescent="0.25">
      <c r="A907" s="3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1.25" customHeight="1" x14ac:dyDescent="0.25">
      <c r="A908" s="3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1.25" customHeight="1" x14ac:dyDescent="0.25">
      <c r="A909" s="3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1.25" customHeight="1" x14ac:dyDescent="0.25">
      <c r="A910" s="3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1.25" customHeight="1" x14ac:dyDescent="0.25">
      <c r="A911" s="3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1.25" customHeight="1" x14ac:dyDescent="0.25">
      <c r="A912" s="3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1.25" customHeight="1" x14ac:dyDescent="0.25">
      <c r="A913" s="3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1.25" customHeight="1" x14ac:dyDescent="0.25">
      <c r="A914" s="3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1.25" customHeight="1" x14ac:dyDescent="0.25">
      <c r="A915" s="3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1.25" customHeight="1" x14ac:dyDescent="0.25">
      <c r="A916" s="3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1.25" customHeight="1" x14ac:dyDescent="0.25">
      <c r="A917" s="3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1.25" customHeight="1" x14ac:dyDescent="0.25">
      <c r="A918" s="3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1.25" customHeight="1" x14ac:dyDescent="0.25">
      <c r="A919" s="3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1.25" customHeight="1" x14ac:dyDescent="0.25">
      <c r="A920" s="3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1.25" customHeight="1" x14ac:dyDescent="0.25">
      <c r="A921" s="3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1.25" customHeight="1" x14ac:dyDescent="0.25">
      <c r="A922" s="3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1.25" customHeight="1" x14ac:dyDescent="0.25">
      <c r="A923" s="3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1.25" customHeight="1" x14ac:dyDescent="0.25">
      <c r="A924" s="3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1.25" customHeight="1" x14ac:dyDescent="0.25">
      <c r="A925" s="3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1.25" customHeight="1" x14ac:dyDescent="0.25">
      <c r="A926" s="3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1.25" customHeight="1" x14ac:dyDescent="0.25">
      <c r="A927" s="3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1.25" customHeight="1" x14ac:dyDescent="0.25">
      <c r="A928" s="3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1.25" customHeight="1" x14ac:dyDescent="0.25">
      <c r="A929" s="3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1.25" customHeight="1" x14ac:dyDescent="0.25">
      <c r="A930" s="3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1.25" customHeight="1" x14ac:dyDescent="0.25">
      <c r="A931" s="3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1.25" customHeight="1" x14ac:dyDescent="0.25">
      <c r="A932" s="3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1.25" customHeight="1" x14ac:dyDescent="0.25">
      <c r="A933" s="3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1.25" customHeight="1" x14ac:dyDescent="0.25">
      <c r="A934" s="3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1.25" customHeight="1" x14ac:dyDescent="0.25">
      <c r="A935" s="3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1.25" customHeight="1" x14ac:dyDescent="0.25">
      <c r="A936" s="3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1.25" customHeight="1" x14ac:dyDescent="0.25">
      <c r="A937" s="3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1.25" customHeight="1" x14ac:dyDescent="0.25">
      <c r="A938" s="3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1.25" customHeight="1" x14ac:dyDescent="0.25">
      <c r="A939" s="3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1.25" customHeight="1" x14ac:dyDescent="0.25">
      <c r="A940" s="3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1.25" customHeight="1" x14ac:dyDescent="0.25">
      <c r="A941" s="3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1.25" customHeight="1" x14ac:dyDescent="0.25">
      <c r="A942" s="3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1.25" customHeight="1" x14ac:dyDescent="0.25">
      <c r="A943" s="3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1.25" customHeight="1" x14ac:dyDescent="0.25">
      <c r="A944" s="3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1.25" customHeight="1" x14ac:dyDescent="0.25">
      <c r="A945" s="3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1.25" customHeight="1" x14ac:dyDescent="0.25">
      <c r="A946" s="3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1.25" customHeight="1" x14ac:dyDescent="0.25">
      <c r="A947" s="3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1.25" customHeight="1" x14ac:dyDescent="0.25">
      <c r="A948" s="3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1.25" customHeight="1" x14ac:dyDescent="0.25">
      <c r="A949" s="3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1.25" customHeight="1" x14ac:dyDescent="0.25">
      <c r="A950" s="3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1.25" customHeight="1" x14ac:dyDescent="0.25">
      <c r="A951" s="3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1.25" customHeight="1" x14ac:dyDescent="0.25">
      <c r="A952" s="3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1.25" customHeight="1" x14ac:dyDescent="0.25">
      <c r="A953" s="3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1.25" customHeight="1" x14ac:dyDescent="0.25">
      <c r="A954" s="3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1.25" customHeight="1" x14ac:dyDescent="0.25">
      <c r="A955" s="3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1.25" customHeight="1" x14ac:dyDescent="0.25">
      <c r="A956" s="3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1.25" customHeight="1" x14ac:dyDescent="0.25">
      <c r="A957" s="3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1.25" customHeight="1" x14ac:dyDescent="0.25">
      <c r="A958" s="3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1.25" customHeight="1" x14ac:dyDescent="0.25">
      <c r="A959" s="3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1.25" customHeight="1" x14ac:dyDescent="0.25">
      <c r="A960" s="3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1.25" customHeight="1" x14ac:dyDescent="0.25">
      <c r="A961" s="3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1.25" customHeight="1" x14ac:dyDescent="0.25">
      <c r="A962" s="3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1.25" customHeight="1" x14ac:dyDescent="0.25">
      <c r="A963" s="3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1.25" customHeight="1" x14ac:dyDescent="0.25">
      <c r="A964" s="3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1.25" customHeight="1" x14ac:dyDescent="0.25">
      <c r="A965" s="3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1.25" customHeight="1" x14ac:dyDescent="0.25">
      <c r="A966" s="3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1.25" customHeight="1" x14ac:dyDescent="0.25">
      <c r="A967" s="3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1.25" customHeight="1" x14ac:dyDescent="0.25">
      <c r="A968" s="3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1.25" customHeight="1" x14ac:dyDescent="0.25">
      <c r="A969" s="3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1.25" customHeight="1" x14ac:dyDescent="0.25">
      <c r="A970" s="3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1.25" customHeight="1" x14ac:dyDescent="0.25">
      <c r="A971" s="3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1.25" customHeight="1" x14ac:dyDescent="0.25">
      <c r="A972" s="3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1.25" customHeight="1" x14ac:dyDescent="0.25">
      <c r="A973" s="3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1.25" customHeight="1" x14ac:dyDescent="0.25">
      <c r="A974" s="3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1.25" customHeight="1" x14ac:dyDescent="0.25">
      <c r="A975" s="3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1.25" customHeight="1" x14ac:dyDescent="0.25">
      <c r="A976" s="3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1.25" customHeight="1" x14ac:dyDescent="0.25">
      <c r="A977" s="3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1.25" customHeight="1" x14ac:dyDescent="0.25">
      <c r="A978" s="3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1.25" customHeight="1" x14ac:dyDescent="0.25">
      <c r="A979" s="3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1.25" customHeight="1" x14ac:dyDescent="0.25">
      <c r="A980" s="3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1.25" customHeight="1" x14ac:dyDescent="0.25">
      <c r="A981" s="3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1.25" customHeight="1" x14ac:dyDescent="0.25">
      <c r="A982" s="3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1.25" customHeight="1" x14ac:dyDescent="0.25">
      <c r="A983" s="3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1.25" customHeight="1" x14ac:dyDescent="0.25">
      <c r="A984" s="3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1.25" customHeight="1" x14ac:dyDescent="0.25">
      <c r="A985" s="3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1.25" customHeight="1" x14ac:dyDescent="0.25">
      <c r="A986" s="3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1.25" customHeight="1" x14ac:dyDescent="0.25">
      <c r="A987" s="3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1.25" customHeight="1" x14ac:dyDescent="0.25">
      <c r="A988" s="3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1.25" customHeight="1" x14ac:dyDescent="0.25">
      <c r="A989" s="3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1.25" customHeight="1" x14ac:dyDescent="0.25">
      <c r="A990" s="3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1.25" customHeight="1" x14ac:dyDescent="0.25">
      <c r="A991" s="3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1.25" customHeight="1" x14ac:dyDescent="0.25">
      <c r="A992" s="3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1.25" customHeight="1" x14ac:dyDescent="0.25">
      <c r="A993" s="3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1.25" customHeight="1" x14ac:dyDescent="0.25">
      <c r="A994" s="3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1.25" customHeight="1" x14ac:dyDescent="0.25">
      <c r="A995" s="3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1.25" customHeight="1" x14ac:dyDescent="0.25">
      <c r="A996" s="3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1.25" customHeight="1" x14ac:dyDescent="0.25">
      <c r="A997" s="3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1.25" customHeight="1" x14ac:dyDescent="0.25">
      <c r="A998" s="3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1.25" customHeight="1" x14ac:dyDescent="0.25">
      <c r="A999" s="3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1.25" customHeight="1" x14ac:dyDescent="0.25">
      <c r="A1000" s="3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spans="1:26" ht="11.25" customHeight="1" x14ac:dyDescent="0.25">
      <c r="A1001" s="3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 spans="1:26" ht="11.25" customHeight="1" x14ac:dyDescent="0.25">
      <c r="A1002" s="3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 spans="1:26" ht="11.25" customHeight="1" x14ac:dyDescent="0.25">
      <c r="A1003" s="3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 spans="1:26" ht="11.25" customHeight="1" x14ac:dyDescent="0.25">
      <c r="A1004" s="3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 spans="1:26" ht="11.25" customHeight="1" x14ac:dyDescent="0.25">
      <c r="A1005" s="3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 spans="1:26" ht="11.25" customHeight="1" x14ac:dyDescent="0.25">
      <c r="A1006" s="3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</sheetData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showGridLines="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baseColWidth="10" defaultColWidth="12.5703125" defaultRowHeight="15" customHeight="1" x14ac:dyDescent="0.25"/>
  <cols>
    <col min="1" max="1" width="44.28515625" style="3" bestFit="1" customWidth="1"/>
    <col min="2" max="2" width="6" style="3" bestFit="1" customWidth="1"/>
    <col min="3" max="4" width="6.140625" style="3" bestFit="1" customWidth="1"/>
    <col min="5" max="9" width="6" style="3" bestFit="1" customWidth="1"/>
    <col min="10" max="11" width="11.42578125" customWidth="1"/>
    <col min="12" max="26" width="10.5703125" customWidth="1"/>
  </cols>
  <sheetData>
    <row r="1" spans="1:26" ht="11.25" customHeight="1" x14ac:dyDescent="0.25">
      <c r="A1" s="1" t="s">
        <v>0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1.25" customHeight="1" x14ac:dyDescent="0.25">
      <c r="A2" s="3" t="s">
        <v>1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1.25" customHeight="1" x14ac:dyDescent="0.25">
      <c r="A3" s="4" t="s">
        <v>2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1.25" customHeight="1" x14ac:dyDescent="0.25"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1.25" customHeight="1" x14ac:dyDescent="0.25">
      <c r="A5" s="44" t="s">
        <v>106</v>
      </c>
      <c r="B5" s="49" t="s">
        <v>4</v>
      </c>
      <c r="C5" s="49" t="s">
        <v>5</v>
      </c>
      <c r="D5" s="49" t="s">
        <v>6</v>
      </c>
      <c r="E5" s="49" t="s">
        <v>7</v>
      </c>
      <c r="F5" s="49" t="s">
        <v>8</v>
      </c>
      <c r="G5" s="49" t="s">
        <v>9</v>
      </c>
      <c r="H5" s="49" t="s">
        <v>10</v>
      </c>
      <c r="I5" s="49" t="s">
        <v>11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1.25" customHeight="1" x14ac:dyDescent="0.25">
      <c r="A6" s="45" t="s">
        <v>20</v>
      </c>
      <c r="B6" s="19">
        <v>26640</v>
      </c>
      <c r="C6" s="27">
        <f>Schedules!C22</f>
        <v>25846</v>
      </c>
      <c r="D6" s="27">
        <f>Schedules!D22</f>
        <v>24942</v>
      </c>
      <c r="E6" s="27">
        <f>Schedules!E22</f>
        <v>24995.871939461696</v>
      </c>
      <c r="F6" s="27">
        <f>Schedules!F22</f>
        <v>25050.631178727544</v>
      </c>
      <c r="G6" s="27">
        <f>Schedules!G22</f>
        <v>25106.293349968684</v>
      </c>
      <c r="H6" s="27">
        <f>Schedules!H22</f>
        <v>25162.874361996888</v>
      </c>
      <c r="I6" s="27">
        <f>Schedules!I22</f>
        <v>25220.390405161601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1.25" customHeight="1" x14ac:dyDescent="0.25">
      <c r="A7" s="45" t="s">
        <v>27</v>
      </c>
      <c r="B7" s="19">
        <v>17714</v>
      </c>
      <c r="C7" s="19">
        <v>16878</v>
      </c>
      <c r="D7" s="19">
        <v>16633</v>
      </c>
      <c r="E7" s="27">
        <f>Schedules!E37</f>
        <v>16668.9254257504</v>
      </c>
      <c r="F7" s="27">
        <f>Schedules!F37</f>
        <v>16705.442562576187</v>
      </c>
      <c r="G7" s="27">
        <f>Schedules!G37</f>
        <v>16742.561835058503</v>
      </c>
      <c r="H7" s="27">
        <f>Schedules!H37</f>
        <v>16780.293852261017</v>
      </c>
      <c r="I7" s="27">
        <f>Schedules!I37</f>
        <v>16818.649410995626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44" t="s">
        <v>107</v>
      </c>
      <c r="B8" s="38">
        <f t="shared" ref="B8:I8" si="0">B6-B7</f>
        <v>8926</v>
      </c>
      <c r="C8" s="38">
        <f t="shared" si="0"/>
        <v>8968</v>
      </c>
      <c r="D8" s="38">
        <f t="shared" si="0"/>
        <v>8309</v>
      </c>
      <c r="E8" s="38">
        <f t="shared" si="0"/>
        <v>8326.9465137112966</v>
      </c>
      <c r="F8" s="38">
        <f t="shared" si="0"/>
        <v>8345.1886161513576</v>
      </c>
      <c r="G8" s="38">
        <f t="shared" si="0"/>
        <v>8363.7315149101814</v>
      </c>
      <c r="H8" s="38">
        <f t="shared" si="0"/>
        <v>8382.5805097358716</v>
      </c>
      <c r="I8" s="38">
        <f t="shared" si="0"/>
        <v>8401.7409941659753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22.5" x14ac:dyDescent="0.25">
      <c r="A9" s="45" t="s">
        <v>31</v>
      </c>
      <c r="B9" s="19">
        <v>3692</v>
      </c>
      <c r="C9" s="19">
        <v>3616</v>
      </c>
      <c r="D9" s="19">
        <v>3672</v>
      </c>
      <c r="E9" s="27">
        <f>Schedules!E43</f>
        <v>3679.9311106448299</v>
      </c>
      <c r="F9" s="27">
        <f>Schedules!F43</f>
        <v>3687.9928509456954</v>
      </c>
      <c r="G9" s="27">
        <f>Schedules!G43</f>
        <v>3696.1875222951248</v>
      </c>
      <c r="H9" s="27">
        <f>Schedules!H43</f>
        <v>3704.517466813109</v>
      </c>
      <c r="I9" s="27">
        <f>Schedules!I43</f>
        <v>3712.9850680680538</v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1.25" customHeight="1" x14ac:dyDescent="0.25">
      <c r="A10" s="50" t="s">
        <v>108</v>
      </c>
      <c r="B10" s="51">
        <v>510</v>
      </c>
      <c r="C10" s="51">
        <v>1638</v>
      </c>
      <c r="D10" s="51">
        <v>6734</v>
      </c>
      <c r="E10" s="51">
        <v>0</v>
      </c>
      <c r="F10" s="52">
        <f t="shared" ref="F10:I10" si="1">E10</f>
        <v>0</v>
      </c>
      <c r="G10" s="52">
        <f t="shared" si="1"/>
        <v>0</v>
      </c>
      <c r="H10" s="52">
        <f t="shared" si="1"/>
        <v>0</v>
      </c>
      <c r="I10" s="52">
        <f t="shared" si="1"/>
        <v>0</v>
      </c>
      <c r="J10" s="53"/>
      <c r="K10" s="53"/>
      <c r="L10" s="53"/>
      <c r="M10" s="53"/>
      <c r="N10" s="53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</row>
    <row r="11" spans="1:26" ht="11.25" customHeight="1" x14ac:dyDescent="0.25">
      <c r="A11" s="45" t="s">
        <v>109</v>
      </c>
      <c r="B11" s="54">
        <v>152</v>
      </c>
      <c r="C11" s="54">
        <v>2031</v>
      </c>
      <c r="D11" s="54">
        <v>2572</v>
      </c>
      <c r="E11" s="54">
        <v>0</v>
      </c>
      <c r="F11" s="55">
        <f t="shared" ref="F11:I11" si="2">E11</f>
        <v>0</v>
      </c>
      <c r="G11" s="55">
        <f t="shared" si="2"/>
        <v>0</v>
      </c>
      <c r="H11" s="55">
        <f t="shared" si="2"/>
        <v>0</v>
      </c>
      <c r="I11" s="55">
        <f t="shared" si="2"/>
        <v>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1.25" customHeight="1" x14ac:dyDescent="0.25">
      <c r="A12" s="56" t="s">
        <v>110</v>
      </c>
      <c r="B12" s="38">
        <f t="shared" ref="B12:I12" si="3">SUM(B9:B11)</f>
        <v>4354</v>
      </c>
      <c r="C12" s="38">
        <f t="shared" si="3"/>
        <v>7285</v>
      </c>
      <c r="D12" s="38">
        <f t="shared" si="3"/>
        <v>12978</v>
      </c>
      <c r="E12" s="38">
        <f t="shared" si="3"/>
        <v>3679.9311106448299</v>
      </c>
      <c r="F12" s="38">
        <f t="shared" si="3"/>
        <v>3687.9928509456954</v>
      </c>
      <c r="G12" s="38">
        <f t="shared" si="3"/>
        <v>3696.1875222951248</v>
      </c>
      <c r="H12" s="38">
        <f t="shared" si="3"/>
        <v>3704.517466813109</v>
      </c>
      <c r="I12" s="38">
        <f t="shared" si="3"/>
        <v>3712.9850680680538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1.25" customHeight="1" x14ac:dyDescent="0.25">
      <c r="A13" s="44" t="s">
        <v>111</v>
      </c>
      <c r="B13" s="38">
        <f t="shared" ref="B13:I13" si="4">B8-B12</f>
        <v>4572</v>
      </c>
      <c r="C13" s="38">
        <f t="shared" si="4"/>
        <v>1683</v>
      </c>
      <c r="D13" s="38">
        <f t="shared" si="4"/>
        <v>-4669</v>
      </c>
      <c r="E13" s="38">
        <f t="shared" si="4"/>
        <v>4647.0154030664671</v>
      </c>
      <c r="F13" s="38">
        <f t="shared" si="4"/>
        <v>4657.1957652056626</v>
      </c>
      <c r="G13" s="38">
        <f t="shared" si="4"/>
        <v>4667.5439926150566</v>
      </c>
      <c r="H13" s="38">
        <f t="shared" si="4"/>
        <v>4678.0630429227622</v>
      </c>
      <c r="I13" s="38">
        <f t="shared" si="4"/>
        <v>4688.7559260979215</v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1.25" customHeight="1" x14ac:dyDescent="0.25">
      <c r="A14" s="45" t="s">
        <v>68</v>
      </c>
      <c r="B14" s="19">
        <v>912</v>
      </c>
      <c r="C14" s="19">
        <v>912</v>
      </c>
      <c r="D14" s="19">
        <v>947</v>
      </c>
      <c r="E14" s="27">
        <f>Schedules!E101</f>
        <v>978.11492406542061</v>
      </c>
      <c r="F14" s="27">
        <f>Schedules!F101</f>
        <v>978.11492406542061</v>
      </c>
      <c r="G14" s="27">
        <f>Schedules!G101</f>
        <v>978.11492406542061</v>
      </c>
      <c r="H14" s="27">
        <f>Schedules!H101</f>
        <v>978.11492406542061</v>
      </c>
      <c r="I14" s="27">
        <f>Schedules!I101</f>
        <v>978.11492406542061</v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1.25" customHeight="1" x14ac:dyDescent="0.25">
      <c r="A15" s="45" t="s">
        <v>112</v>
      </c>
      <c r="B15" s="54">
        <v>27</v>
      </c>
      <c r="C15" s="54">
        <v>-85</v>
      </c>
      <c r="D15" s="54">
        <v>-171</v>
      </c>
      <c r="E15" s="54">
        <v>0</v>
      </c>
      <c r="F15" s="55">
        <f t="shared" ref="F15:I15" si="5">E15</f>
        <v>0</v>
      </c>
      <c r="G15" s="55">
        <f t="shared" si="5"/>
        <v>0</v>
      </c>
      <c r="H15" s="55">
        <f t="shared" si="5"/>
        <v>0</v>
      </c>
      <c r="I15" s="55">
        <f t="shared" si="5"/>
        <v>0</v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1.25" customHeight="1" x14ac:dyDescent="0.25">
      <c r="A16" s="56" t="s">
        <v>113</v>
      </c>
      <c r="B16" s="20">
        <f t="shared" ref="B16:I16" si="6">B13-B14-B15</f>
        <v>3633</v>
      </c>
      <c r="C16" s="20">
        <f t="shared" si="6"/>
        <v>856</v>
      </c>
      <c r="D16" s="20">
        <f t="shared" si="6"/>
        <v>-5445</v>
      </c>
      <c r="E16" s="20">
        <f t="shared" si="6"/>
        <v>3668.9004790010467</v>
      </c>
      <c r="F16" s="20">
        <f t="shared" si="6"/>
        <v>3679.0808411402422</v>
      </c>
      <c r="G16" s="20">
        <f t="shared" si="6"/>
        <v>3689.4290685496362</v>
      </c>
      <c r="H16" s="20">
        <f t="shared" si="6"/>
        <v>3699.9481188573418</v>
      </c>
      <c r="I16" s="20">
        <f t="shared" si="6"/>
        <v>3710.6410020325011</v>
      </c>
      <c r="J16" s="3"/>
      <c r="K16" s="57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1.25" customHeight="1" x14ac:dyDescent="0.25">
      <c r="A17" s="45" t="s">
        <v>114</v>
      </c>
      <c r="B17" s="54">
        <v>787</v>
      </c>
      <c r="C17" s="54">
        <v>-1890</v>
      </c>
      <c r="D17" s="54">
        <v>403</v>
      </c>
      <c r="E17" s="58">
        <f>E16*Schedules!E109</f>
        <v>770.4691005902198</v>
      </c>
      <c r="F17" s="58">
        <f>F16*Schedules!F109</f>
        <v>772.60697663945086</v>
      </c>
      <c r="G17" s="58">
        <f>G16*Schedules!G109</f>
        <v>774.78010439542356</v>
      </c>
      <c r="H17" s="58">
        <f>H16*Schedules!H109</f>
        <v>776.9891049600418</v>
      </c>
      <c r="I17" s="58">
        <f>I16*Schedules!I109</f>
        <v>779.23461042682516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1.25" customHeight="1" x14ac:dyDescent="0.25">
      <c r="A18" s="44" t="s">
        <v>115</v>
      </c>
      <c r="B18" s="20">
        <f t="shared" ref="B18:I18" si="7">B16-B17</f>
        <v>2846</v>
      </c>
      <c r="C18" s="20">
        <f t="shared" si="7"/>
        <v>2746</v>
      </c>
      <c r="D18" s="20">
        <f t="shared" si="7"/>
        <v>-5848</v>
      </c>
      <c r="E18" s="20">
        <f t="shared" si="7"/>
        <v>2898.4313784108272</v>
      </c>
      <c r="F18" s="20">
        <f t="shared" si="7"/>
        <v>2906.4738645007915</v>
      </c>
      <c r="G18" s="20">
        <f t="shared" si="7"/>
        <v>2914.6489641542125</v>
      </c>
      <c r="H18" s="20">
        <f t="shared" si="7"/>
        <v>2922.9590138972999</v>
      </c>
      <c r="I18" s="20">
        <f t="shared" si="7"/>
        <v>2931.4063916056757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1.25" customHeight="1" x14ac:dyDescent="0.25">
      <c r="A19" s="45" t="s">
        <v>116</v>
      </c>
      <c r="B19" s="19">
        <v>-9</v>
      </c>
      <c r="C19" s="19">
        <v>2</v>
      </c>
      <c r="D19" s="19">
        <v>-2</v>
      </c>
      <c r="E19" s="19">
        <v>0</v>
      </c>
      <c r="F19" s="20">
        <f t="shared" ref="F19:I19" si="8">E19</f>
        <v>0</v>
      </c>
      <c r="G19" s="20">
        <f t="shared" si="8"/>
        <v>0</v>
      </c>
      <c r="H19" s="20">
        <f t="shared" si="8"/>
        <v>0</v>
      </c>
      <c r="I19" s="20">
        <f t="shared" si="8"/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1.25" customHeight="1" x14ac:dyDescent="0.25">
      <c r="A20" s="44" t="s">
        <v>117</v>
      </c>
      <c r="B20" s="59">
        <f t="shared" ref="B20:I20" si="9">B18-B19</f>
        <v>2855</v>
      </c>
      <c r="C20" s="59">
        <f t="shared" si="9"/>
        <v>2744</v>
      </c>
      <c r="D20" s="59">
        <f t="shared" si="9"/>
        <v>-5846</v>
      </c>
      <c r="E20" s="59">
        <f t="shared" si="9"/>
        <v>2898.4313784108272</v>
      </c>
      <c r="F20" s="59">
        <f t="shared" si="9"/>
        <v>2906.4738645007915</v>
      </c>
      <c r="G20" s="59">
        <f t="shared" si="9"/>
        <v>2914.6489641542125</v>
      </c>
      <c r="H20" s="59">
        <f t="shared" si="9"/>
        <v>2922.9590138972999</v>
      </c>
      <c r="I20" s="59">
        <f t="shared" si="9"/>
        <v>2931.4063916056757</v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1.25" customHeight="1" x14ac:dyDescent="0.25"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1.25" customHeight="1" x14ac:dyDescent="0.25"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1.25" customHeight="1" x14ac:dyDescent="0.25"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1.25" customHeight="1" x14ac:dyDescent="0.25"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1.25" customHeight="1" x14ac:dyDescent="0.25"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1.25" customHeight="1" x14ac:dyDescent="0.25"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1.25" customHeight="1" x14ac:dyDescent="0.25"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1.25" customHeight="1" x14ac:dyDescent="0.25"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1.25" customHeight="1" x14ac:dyDescent="0.25"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1.25" customHeight="1" x14ac:dyDescent="0.25"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1.25" customHeight="1" x14ac:dyDescent="0.25"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1.25" customHeight="1" x14ac:dyDescent="0.25"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0:26" ht="11.25" customHeight="1" x14ac:dyDescent="0.25"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0:26" ht="11.25" customHeight="1" x14ac:dyDescent="0.25"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0:26" ht="11.25" customHeight="1" x14ac:dyDescent="0.25"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0:26" ht="11.25" customHeight="1" x14ac:dyDescent="0.25"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0:26" ht="11.25" customHeight="1" x14ac:dyDescent="0.25"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0:26" ht="11.25" customHeight="1" x14ac:dyDescent="0.25"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0:26" ht="11.25" customHeight="1" x14ac:dyDescent="0.25"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0:26" ht="11.25" customHeight="1" x14ac:dyDescent="0.25"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0:26" ht="11.25" customHeight="1" x14ac:dyDescent="0.25"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0:26" ht="11.25" customHeight="1" x14ac:dyDescent="0.25"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0:26" ht="11.25" customHeight="1" x14ac:dyDescent="0.25"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0:26" ht="11.25" customHeight="1" x14ac:dyDescent="0.25"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0:26" ht="11.25" customHeight="1" x14ac:dyDescent="0.25"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0:26" ht="11.25" customHeight="1" x14ac:dyDescent="0.25"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0:26" ht="11.25" customHeight="1" x14ac:dyDescent="0.25"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0:26" ht="11.25" customHeight="1" x14ac:dyDescent="0.25"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0:26" ht="11.25" customHeight="1" x14ac:dyDescent="0.25"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0:26" ht="11.25" customHeight="1" x14ac:dyDescent="0.25"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0:26" ht="11.25" customHeight="1" x14ac:dyDescent="0.25"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0:26" ht="11.25" customHeight="1" x14ac:dyDescent="0.25"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0:26" ht="11.25" customHeight="1" x14ac:dyDescent="0.25"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0:26" ht="11.25" customHeight="1" x14ac:dyDescent="0.25"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0:26" ht="11.25" customHeight="1" x14ac:dyDescent="0.25"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0:26" ht="11.25" customHeight="1" x14ac:dyDescent="0.25"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0:26" ht="11.25" customHeight="1" x14ac:dyDescent="0.25"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0:26" ht="11.25" customHeight="1" x14ac:dyDescent="0.25"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0:26" ht="11.25" customHeight="1" x14ac:dyDescent="0.25"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0:26" ht="11.25" customHeight="1" x14ac:dyDescent="0.25"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0:26" ht="11.25" customHeight="1" x14ac:dyDescent="0.25"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0:26" ht="11.25" customHeight="1" x14ac:dyDescent="0.25"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0:26" ht="11.25" customHeight="1" x14ac:dyDescent="0.25"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0:26" ht="11.25" customHeight="1" x14ac:dyDescent="0.25"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0:26" ht="11.25" customHeight="1" x14ac:dyDescent="0.25"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0:26" ht="11.25" customHeight="1" x14ac:dyDescent="0.25"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0:26" ht="11.25" customHeight="1" x14ac:dyDescent="0.25"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0:26" ht="11.25" customHeight="1" x14ac:dyDescent="0.25"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0:26" ht="11.25" customHeight="1" x14ac:dyDescent="0.25"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0:26" ht="11.25" customHeight="1" x14ac:dyDescent="0.25"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0:26" ht="11.25" customHeight="1" x14ac:dyDescent="0.25"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0:26" ht="11.25" customHeight="1" x14ac:dyDescent="0.25"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0:26" ht="11.25" customHeight="1" x14ac:dyDescent="0.25"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0:26" ht="11.25" customHeight="1" x14ac:dyDescent="0.25"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0:26" ht="11.25" customHeight="1" x14ac:dyDescent="0.25"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0:26" ht="11.25" customHeight="1" x14ac:dyDescent="0.25"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0:26" ht="11.25" customHeight="1" x14ac:dyDescent="0.25"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0:26" ht="11.25" customHeight="1" x14ac:dyDescent="0.25"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0:26" ht="11.25" customHeight="1" x14ac:dyDescent="0.25"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0:26" ht="11.25" customHeight="1" x14ac:dyDescent="0.25"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0:26" ht="11.25" customHeight="1" x14ac:dyDescent="0.25"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0:26" ht="11.25" customHeight="1" x14ac:dyDescent="0.25"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0:26" ht="11.25" customHeight="1" x14ac:dyDescent="0.25"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0:26" ht="11.25" customHeight="1" x14ac:dyDescent="0.25"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0:26" ht="11.25" customHeight="1" x14ac:dyDescent="0.25"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0:26" ht="11.25" customHeight="1" x14ac:dyDescent="0.25"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0:26" ht="11.25" customHeight="1" x14ac:dyDescent="0.25"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0:26" ht="11.25" customHeight="1" x14ac:dyDescent="0.25"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0:26" ht="11.25" customHeight="1" x14ac:dyDescent="0.25"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0:26" ht="11.25" customHeight="1" x14ac:dyDescent="0.25"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0:26" ht="11.25" customHeight="1" x14ac:dyDescent="0.25"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0:26" ht="11.25" customHeight="1" x14ac:dyDescent="0.25"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0:26" ht="11.25" customHeight="1" x14ac:dyDescent="0.25"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0:26" ht="11.25" customHeight="1" x14ac:dyDescent="0.25"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0:26" ht="11.25" customHeight="1" x14ac:dyDescent="0.25"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0:26" ht="11.25" customHeight="1" x14ac:dyDescent="0.25"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0:26" ht="11.25" customHeight="1" x14ac:dyDescent="0.25"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0:26" ht="11.25" customHeight="1" x14ac:dyDescent="0.25"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0:26" ht="11.25" customHeight="1" x14ac:dyDescent="0.25"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0:26" ht="11.25" customHeight="1" x14ac:dyDescent="0.25"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0:26" ht="11.25" customHeight="1" x14ac:dyDescent="0.25"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0:26" ht="11.25" customHeight="1" x14ac:dyDescent="0.25"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0:26" ht="11.25" customHeight="1" x14ac:dyDescent="0.25"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0:26" ht="11.25" customHeight="1" x14ac:dyDescent="0.25"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0:26" ht="11.25" customHeight="1" x14ac:dyDescent="0.25"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0:26" ht="11.25" customHeight="1" x14ac:dyDescent="0.25"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0:26" ht="11.25" customHeight="1" x14ac:dyDescent="0.25"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0:26" ht="11.25" customHeight="1" x14ac:dyDescent="0.25"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0:26" ht="11.25" customHeight="1" x14ac:dyDescent="0.25"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0:26" ht="11.25" customHeight="1" x14ac:dyDescent="0.25"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0:26" ht="11.25" customHeight="1" x14ac:dyDescent="0.25"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0:26" ht="11.25" customHeight="1" x14ac:dyDescent="0.25"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0:26" ht="11.25" customHeight="1" x14ac:dyDescent="0.25"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0:26" ht="11.25" customHeight="1" x14ac:dyDescent="0.25"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0:26" ht="11.25" customHeight="1" x14ac:dyDescent="0.25"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0:26" ht="11.25" customHeight="1" x14ac:dyDescent="0.25"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0:26" ht="11.25" customHeight="1" x14ac:dyDescent="0.25"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0:26" ht="11.25" customHeight="1" x14ac:dyDescent="0.25"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0:26" ht="11.25" customHeight="1" x14ac:dyDescent="0.25"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0:26" ht="11.25" customHeight="1" x14ac:dyDescent="0.25"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0:26" ht="11.25" customHeight="1" x14ac:dyDescent="0.25"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0:26" ht="11.25" customHeight="1" x14ac:dyDescent="0.25"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0:26" ht="11.25" customHeight="1" x14ac:dyDescent="0.25"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0:26" ht="11.25" customHeight="1" x14ac:dyDescent="0.25"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0:26" ht="11.25" customHeight="1" x14ac:dyDescent="0.25"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0:26" ht="11.25" customHeight="1" x14ac:dyDescent="0.25"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0:26" ht="11.25" customHeight="1" x14ac:dyDescent="0.25"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0:26" ht="11.25" customHeight="1" x14ac:dyDescent="0.25"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0:26" ht="11.25" customHeight="1" x14ac:dyDescent="0.25"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0:26" ht="11.25" customHeight="1" x14ac:dyDescent="0.25"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0:26" ht="11.25" customHeight="1" x14ac:dyDescent="0.25"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0:26" ht="11.25" customHeight="1" x14ac:dyDescent="0.25"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0:26" ht="11.25" customHeight="1" x14ac:dyDescent="0.25"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0:26" ht="11.25" customHeight="1" x14ac:dyDescent="0.25"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0:26" ht="11.25" customHeight="1" x14ac:dyDescent="0.25"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0:26" ht="11.25" customHeight="1" x14ac:dyDescent="0.25"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0:26" ht="11.25" customHeight="1" x14ac:dyDescent="0.25"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0:26" ht="11.25" customHeight="1" x14ac:dyDescent="0.25"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0:26" ht="11.25" customHeight="1" x14ac:dyDescent="0.25"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0:26" ht="11.25" customHeight="1" x14ac:dyDescent="0.25"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0:26" ht="11.25" customHeight="1" x14ac:dyDescent="0.25"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0:26" ht="11.25" customHeight="1" x14ac:dyDescent="0.25"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0:26" ht="11.25" customHeight="1" x14ac:dyDescent="0.25"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0:26" ht="11.25" customHeight="1" x14ac:dyDescent="0.25"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0:26" ht="11.25" customHeight="1" x14ac:dyDescent="0.25"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0:26" ht="11.25" customHeight="1" x14ac:dyDescent="0.25"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0:26" ht="11.25" customHeight="1" x14ac:dyDescent="0.25"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0:26" ht="11.25" customHeight="1" x14ac:dyDescent="0.25"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0:26" ht="11.25" customHeight="1" x14ac:dyDescent="0.25"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0:26" ht="11.25" customHeight="1" x14ac:dyDescent="0.25"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0:26" ht="11.25" customHeight="1" x14ac:dyDescent="0.25"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0:26" ht="11.25" customHeight="1" x14ac:dyDescent="0.25"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0:26" ht="11.25" customHeight="1" x14ac:dyDescent="0.25"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0:26" ht="11.25" customHeight="1" x14ac:dyDescent="0.25"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0:26" ht="11.25" customHeight="1" x14ac:dyDescent="0.25"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0:26" ht="11.25" customHeight="1" x14ac:dyDescent="0.25"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0:26" ht="11.25" customHeight="1" x14ac:dyDescent="0.25"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0:26" ht="11.25" customHeight="1" x14ac:dyDescent="0.25"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0:26" ht="11.25" customHeight="1" x14ac:dyDescent="0.25"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0:26" ht="11.25" customHeight="1" x14ac:dyDescent="0.25"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0:26" ht="11.25" customHeight="1" x14ac:dyDescent="0.25"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0:26" ht="11.25" customHeight="1" x14ac:dyDescent="0.25"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0:26" ht="11.25" customHeight="1" x14ac:dyDescent="0.25"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0:26" ht="11.25" customHeight="1" x14ac:dyDescent="0.25"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0:26" ht="11.25" customHeight="1" x14ac:dyDescent="0.25"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0:26" ht="11.25" customHeight="1" x14ac:dyDescent="0.25"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0:26" ht="11.25" customHeight="1" x14ac:dyDescent="0.25"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0:26" ht="11.25" customHeight="1" x14ac:dyDescent="0.25"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0:26" ht="11.25" customHeight="1" x14ac:dyDescent="0.25"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0:26" ht="11.25" customHeight="1" x14ac:dyDescent="0.25"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0:26" ht="11.25" customHeight="1" x14ac:dyDescent="0.25"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0:26" ht="11.25" customHeight="1" x14ac:dyDescent="0.25"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0:26" ht="11.25" customHeight="1" x14ac:dyDescent="0.25"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0:26" ht="11.25" customHeight="1" x14ac:dyDescent="0.25"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0:26" ht="11.25" customHeight="1" x14ac:dyDescent="0.25"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0:26" ht="11.25" customHeight="1" x14ac:dyDescent="0.25"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0:26" ht="11.25" customHeight="1" x14ac:dyDescent="0.25"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0:26" ht="11.25" customHeight="1" x14ac:dyDescent="0.25"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0:26" ht="11.25" customHeight="1" x14ac:dyDescent="0.25"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0:26" ht="11.25" customHeight="1" x14ac:dyDescent="0.25"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0:26" ht="11.25" customHeight="1" x14ac:dyDescent="0.25"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0:26" ht="11.25" customHeight="1" x14ac:dyDescent="0.25"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0:26" ht="11.25" customHeight="1" x14ac:dyDescent="0.25"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0:26" ht="11.25" customHeight="1" x14ac:dyDescent="0.25"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0:26" ht="11.25" customHeight="1" x14ac:dyDescent="0.25"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0:26" ht="11.25" customHeight="1" x14ac:dyDescent="0.25"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0:26" ht="11.25" customHeight="1" x14ac:dyDescent="0.25"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0:26" ht="11.25" customHeight="1" x14ac:dyDescent="0.25"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0:26" ht="11.25" customHeight="1" x14ac:dyDescent="0.25"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0:26" ht="11.25" customHeight="1" x14ac:dyDescent="0.25"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0:26" ht="11.25" customHeight="1" x14ac:dyDescent="0.25"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0:26" ht="11.25" customHeight="1" x14ac:dyDescent="0.25"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0:26" ht="11.25" customHeight="1" x14ac:dyDescent="0.25"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0:26" ht="11.25" customHeight="1" x14ac:dyDescent="0.25"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0:26" ht="11.25" customHeight="1" x14ac:dyDescent="0.25"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0:26" ht="11.25" customHeight="1" x14ac:dyDescent="0.25"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0:26" ht="11.25" customHeight="1" x14ac:dyDescent="0.25"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0:26" ht="11.25" customHeight="1" x14ac:dyDescent="0.25"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0:26" ht="11.25" customHeight="1" x14ac:dyDescent="0.25"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0:26" ht="11.25" customHeight="1" x14ac:dyDescent="0.25"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0:26" ht="11.25" customHeight="1" x14ac:dyDescent="0.25"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0:26" ht="11.25" customHeight="1" x14ac:dyDescent="0.25"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0:26" ht="11.25" customHeight="1" x14ac:dyDescent="0.25"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0:26" ht="11.25" customHeight="1" x14ac:dyDescent="0.25"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0:26" ht="11.25" customHeight="1" x14ac:dyDescent="0.25"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0:26" ht="11.25" customHeight="1" x14ac:dyDescent="0.25"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0:26" ht="11.25" customHeight="1" x14ac:dyDescent="0.25"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0:26" ht="11.25" customHeight="1" x14ac:dyDescent="0.25"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0:26" ht="11.25" customHeight="1" x14ac:dyDescent="0.25"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0:26" ht="11.25" customHeight="1" x14ac:dyDescent="0.25"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0:26" ht="11.25" customHeight="1" x14ac:dyDescent="0.25"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0:26" ht="11.25" customHeight="1" x14ac:dyDescent="0.25"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0:26" ht="11.25" customHeight="1" x14ac:dyDescent="0.25"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0:26" ht="11.25" customHeight="1" x14ac:dyDescent="0.25"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0:26" ht="11.25" customHeight="1" x14ac:dyDescent="0.25"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0:26" ht="11.25" customHeight="1" x14ac:dyDescent="0.25"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0:26" ht="11.25" customHeight="1" x14ac:dyDescent="0.25"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0:26" ht="11.25" customHeight="1" x14ac:dyDescent="0.25"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0:26" ht="11.25" customHeight="1" x14ac:dyDescent="0.25"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0:26" ht="11.25" customHeight="1" x14ac:dyDescent="0.25"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0:26" ht="11.25" customHeight="1" x14ac:dyDescent="0.25"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0:26" ht="11.25" customHeight="1" x14ac:dyDescent="0.25"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0:26" ht="11.25" customHeight="1" x14ac:dyDescent="0.25"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0:26" ht="11.25" customHeight="1" x14ac:dyDescent="0.25"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0:26" ht="11.25" customHeight="1" x14ac:dyDescent="0.25"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0:26" ht="11.25" customHeight="1" x14ac:dyDescent="0.25"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0:26" ht="11.25" customHeight="1" x14ac:dyDescent="0.25"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0:26" ht="11.25" customHeight="1" x14ac:dyDescent="0.25"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0:26" ht="11.25" customHeight="1" x14ac:dyDescent="0.25"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0:26" ht="11.25" customHeight="1" x14ac:dyDescent="0.25"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0:26" ht="11.25" customHeight="1" x14ac:dyDescent="0.25"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0:26" ht="11.25" customHeight="1" x14ac:dyDescent="0.25"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0:26" ht="11.25" customHeight="1" x14ac:dyDescent="0.25"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0:26" ht="11.25" customHeight="1" x14ac:dyDescent="0.25"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0:26" ht="11.25" customHeight="1" x14ac:dyDescent="0.25"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0:26" ht="11.25" customHeight="1" x14ac:dyDescent="0.25"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0:26" ht="11.25" customHeight="1" x14ac:dyDescent="0.25"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0:26" ht="11.25" customHeight="1" x14ac:dyDescent="0.25"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0:26" ht="11.25" customHeight="1" x14ac:dyDescent="0.25"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0:26" ht="11.25" customHeight="1" x14ac:dyDescent="0.25"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0:26" ht="11.25" customHeight="1" x14ac:dyDescent="0.25"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0:26" ht="11.25" customHeight="1" x14ac:dyDescent="0.25"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0:26" ht="11.25" customHeight="1" x14ac:dyDescent="0.25"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0:26" ht="11.25" customHeight="1" x14ac:dyDescent="0.25"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0:26" ht="11.25" customHeight="1" x14ac:dyDescent="0.25"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0:26" ht="11.25" customHeight="1" x14ac:dyDescent="0.25"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0:26" ht="11.25" customHeight="1" x14ac:dyDescent="0.25"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0:26" ht="11.25" customHeight="1" x14ac:dyDescent="0.25"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0:26" ht="11.25" customHeight="1" x14ac:dyDescent="0.25"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0:26" ht="11.25" customHeight="1" x14ac:dyDescent="0.25"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0:26" ht="11.25" customHeight="1" x14ac:dyDescent="0.25"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0:26" ht="11.25" customHeight="1" x14ac:dyDescent="0.25"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0:26" ht="11.25" customHeight="1" x14ac:dyDescent="0.25"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0:26" ht="11.25" customHeight="1" x14ac:dyDescent="0.25"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0:26" ht="11.25" customHeight="1" x14ac:dyDescent="0.25"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0:26" ht="11.25" customHeight="1" x14ac:dyDescent="0.25"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0:26" ht="11.25" customHeight="1" x14ac:dyDescent="0.25"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0:26" ht="11.25" customHeight="1" x14ac:dyDescent="0.25"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0:26" ht="11.25" customHeight="1" x14ac:dyDescent="0.25"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0:26" ht="11.25" customHeight="1" x14ac:dyDescent="0.25"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0:26" ht="11.25" customHeight="1" x14ac:dyDescent="0.25"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0:26" ht="11.25" customHeight="1" x14ac:dyDescent="0.25"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0:26" ht="11.25" customHeight="1" x14ac:dyDescent="0.25"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0:26" ht="11.25" customHeight="1" x14ac:dyDescent="0.25"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0:26" ht="11.25" customHeight="1" x14ac:dyDescent="0.25"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0:26" ht="11.25" customHeight="1" x14ac:dyDescent="0.25"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0:26" ht="11.25" customHeight="1" x14ac:dyDescent="0.25"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0:26" ht="11.25" customHeight="1" x14ac:dyDescent="0.25"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0:26" ht="11.25" customHeight="1" x14ac:dyDescent="0.25"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0:26" ht="11.25" customHeight="1" x14ac:dyDescent="0.25"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0:26" ht="11.25" customHeight="1" x14ac:dyDescent="0.25"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0:26" ht="11.25" customHeight="1" x14ac:dyDescent="0.25"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0:26" ht="11.25" customHeight="1" x14ac:dyDescent="0.25"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0:26" ht="11.25" customHeight="1" x14ac:dyDescent="0.25"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0:26" ht="11.25" customHeight="1" x14ac:dyDescent="0.25"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0:26" ht="11.25" customHeight="1" x14ac:dyDescent="0.25"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0:26" ht="11.25" customHeight="1" x14ac:dyDescent="0.25"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0:26" ht="11.25" customHeight="1" x14ac:dyDescent="0.25"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0:26" ht="11.25" customHeight="1" x14ac:dyDescent="0.25"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0:26" ht="11.25" customHeight="1" x14ac:dyDescent="0.25"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0:26" ht="11.25" customHeight="1" x14ac:dyDescent="0.25"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0:26" ht="11.25" customHeight="1" x14ac:dyDescent="0.25"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0:26" ht="11.25" customHeight="1" x14ac:dyDescent="0.25"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0:26" ht="11.25" customHeight="1" x14ac:dyDescent="0.25"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0:26" ht="11.25" customHeight="1" x14ac:dyDescent="0.25"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0:26" ht="11.25" customHeight="1" x14ac:dyDescent="0.25"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0:26" ht="11.25" customHeight="1" x14ac:dyDescent="0.25"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0:26" ht="11.25" customHeight="1" x14ac:dyDescent="0.25"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0:26" ht="11.25" customHeight="1" x14ac:dyDescent="0.25"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0:26" ht="11.25" customHeight="1" x14ac:dyDescent="0.25"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0:26" ht="11.25" customHeight="1" x14ac:dyDescent="0.25"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0:26" ht="11.25" customHeight="1" x14ac:dyDescent="0.25"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0:26" ht="11.25" customHeight="1" x14ac:dyDescent="0.25"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0:26" ht="11.25" customHeight="1" x14ac:dyDescent="0.25"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0:26" ht="11.25" customHeight="1" x14ac:dyDescent="0.25"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0:26" ht="11.25" customHeight="1" x14ac:dyDescent="0.25"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0:26" ht="11.25" customHeight="1" x14ac:dyDescent="0.25"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0:26" ht="11.25" customHeight="1" x14ac:dyDescent="0.25"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0:26" ht="11.25" customHeight="1" x14ac:dyDescent="0.25"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0:26" ht="11.25" customHeight="1" x14ac:dyDescent="0.25"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0:26" ht="11.25" customHeight="1" x14ac:dyDescent="0.25"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0:26" ht="11.25" customHeight="1" x14ac:dyDescent="0.25"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0:26" ht="11.25" customHeight="1" x14ac:dyDescent="0.25"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0:26" ht="11.25" customHeight="1" x14ac:dyDescent="0.25"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0:26" ht="11.25" customHeight="1" x14ac:dyDescent="0.25"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0:26" ht="11.25" customHeight="1" x14ac:dyDescent="0.25"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0:26" ht="11.25" customHeight="1" x14ac:dyDescent="0.25"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0:26" ht="11.25" customHeight="1" x14ac:dyDescent="0.25"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0:26" ht="11.25" customHeight="1" x14ac:dyDescent="0.25"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0:26" ht="11.25" customHeight="1" x14ac:dyDescent="0.25"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0:26" ht="11.25" customHeight="1" x14ac:dyDescent="0.25"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0:26" ht="11.25" customHeight="1" x14ac:dyDescent="0.25"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0:26" ht="11.25" customHeight="1" x14ac:dyDescent="0.25"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0:26" ht="11.25" customHeight="1" x14ac:dyDescent="0.25"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0:26" ht="11.25" customHeight="1" x14ac:dyDescent="0.25"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0:26" ht="11.25" customHeight="1" x14ac:dyDescent="0.25"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0:26" ht="11.25" customHeight="1" x14ac:dyDescent="0.25"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0:26" ht="11.25" customHeight="1" x14ac:dyDescent="0.25"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0:26" ht="11.25" customHeight="1" x14ac:dyDescent="0.25"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0:26" ht="11.25" customHeight="1" x14ac:dyDescent="0.25"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0:26" ht="11.25" customHeight="1" x14ac:dyDescent="0.25"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0:26" ht="11.25" customHeight="1" x14ac:dyDescent="0.25"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0:26" ht="11.25" customHeight="1" x14ac:dyDescent="0.25"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0:26" ht="11.25" customHeight="1" x14ac:dyDescent="0.25"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0:26" ht="11.25" customHeight="1" x14ac:dyDescent="0.25"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0:26" ht="11.25" customHeight="1" x14ac:dyDescent="0.25"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0:26" ht="11.25" customHeight="1" x14ac:dyDescent="0.25"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0:26" ht="11.25" customHeight="1" x14ac:dyDescent="0.25"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0:26" ht="11.25" customHeight="1" x14ac:dyDescent="0.25"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0:26" ht="11.25" customHeight="1" x14ac:dyDescent="0.25"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0:26" ht="11.25" customHeight="1" x14ac:dyDescent="0.25"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0:26" ht="11.25" customHeight="1" x14ac:dyDescent="0.25"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0:26" ht="11.25" customHeight="1" x14ac:dyDescent="0.25"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0:26" ht="11.25" customHeight="1" x14ac:dyDescent="0.25"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0:26" ht="11.25" customHeight="1" x14ac:dyDescent="0.25"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0:26" ht="11.25" customHeight="1" x14ac:dyDescent="0.25"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0:26" ht="11.25" customHeight="1" x14ac:dyDescent="0.25"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0:26" ht="11.25" customHeight="1" x14ac:dyDescent="0.25"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0:26" ht="11.25" customHeight="1" x14ac:dyDescent="0.25"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0:26" ht="11.25" customHeight="1" x14ac:dyDescent="0.25"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0:26" ht="11.25" customHeight="1" x14ac:dyDescent="0.25"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0:26" ht="11.25" customHeight="1" x14ac:dyDescent="0.25"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0:26" ht="11.25" customHeight="1" x14ac:dyDescent="0.25"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0:26" ht="11.25" customHeight="1" x14ac:dyDescent="0.25"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0:26" ht="11.25" customHeight="1" x14ac:dyDescent="0.25"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0:26" ht="11.25" customHeight="1" x14ac:dyDescent="0.25"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0:26" ht="11.25" customHeight="1" x14ac:dyDescent="0.25"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0:26" ht="11.25" customHeight="1" x14ac:dyDescent="0.25"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0:26" ht="11.25" customHeight="1" x14ac:dyDescent="0.25"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0:26" ht="11.25" customHeight="1" x14ac:dyDescent="0.25"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0:26" ht="11.25" customHeight="1" x14ac:dyDescent="0.25"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0:26" ht="11.25" customHeight="1" x14ac:dyDescent="0.25"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0:26" ht="11.25" customHeight="1" x14ac:dyDescent="0.25"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0:26" ht="11.25" customHeight="1" x14ac:dyDescent="0.25"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0:26" ht="11.25" customHeight="1" x14ac:dyDescent="0.25"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0:26" ht="11.25" customHeight="1" x14ac:dyDescent="0.25"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0:26" ht="11.25" customHeight="1" x14ac:dyDescent="0.25"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0:26" ht="11.25" customHeight="1" x14ac:dyDescent="0.25"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0:26" ht="11.25" customHeight="1" x14ac:dyDescent="0.25"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0:26" ht="11.25" customHeight="1" x14ac:dyDescent="0.25"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0:26" ht="11.25" customHeight="1" x14ac:dyDescent="0.25"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0:26" ht="11.25" customHeight="1" x14ac:dyDescent="0.25"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0:26" ht="11.25" customHeight="1" x14ac:dyDescent="0.25"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0:26" ht="11.25" customHeight="1" x14ac:dyDescent="0.25"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0:26" ht="11.25" customHeight="1" x14ac:dyDescent="0.25"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0:26" ht="11.25" customHeight="1" x14ac:dyDescent="0.25"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0:26" ht="11.25" customHeight="1" x14ac:dyDescent="0.25"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0:26" ht="11.25" customHeight="1" x14ac:dyDescent="0.25"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0:26" ht="11.25" customHeight="1" x14ac:dyDescent="0.25"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0:26" ht="11.25" customHeight="1" x14ac:dyDescent="0.25"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0:26" ht="11.25" customHeight="1" x14ac:dyDescent="0.25"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0:26" ht="11.25" customHeight="1" x14ac:dyDescent="0.25"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0:26" ht="11.25" customHeight="1" x14ac:dyDescent="0.25"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0:26" ht="11.25" customHeight="1" x14ac:dyDescent="0.25"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0:26" ht="11.25" customHeight="1" x14ac:dyDescent="0.25"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0:26" ht="11.25" customHeight="1" x14ac:dyDescent="0.25"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0:26" ht="11.25" customHeight="1" x14ac:dyDescent="0.25"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0:26" ht="11.25" customHeight="1" x14ac:dyDescent="0.25"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0:26" ht="11.25" customHeight="1" x14ac:dyDescent="0.25"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0:26" ht="11.25" customHeight="1" x14ac:dyDescent="0.25"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0:26" ht="11.25" customHeight="1" x14ac:dyDescent="0.25"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0:26" ht="11.25" customHeight="1" x14ac:dyDescent="0.25"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0:26" ht="11.25" customHeight="1" x14ac:dyDescent="0.25"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0:26" ht="11.25" customHeight="1" x14ac:dyDescent="0.25"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0:26" ht="11.25" customHeight="1" x14ac:dyDescent="0.25"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0:26" ht="11.25" customHeight="1" x14ac:dyDescent="0.25"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0:26" ht="11.25" customHeight="1" x14ac:dyDescent="0.25"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0:26" ht="11.25" customHeight="1" x14ac:dyDescent="0.25"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0:26" ht="11.25" customHeight="1" x14ac:dyDescent="0.25"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0:26" ht="11.25" customHeight="1" x14ac:dyDescent="0.25"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0:26" ht="11.25" customHeight="1" x14ac:dyDescent="0.25"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0:26" ht="11.25" customHeight="1" x14ac:dyDescent="0.25"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0:26" ht="11.25" customHeight="1" x14ac:dyDescent="0.25"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0:26" ht="11.25" customHeight="1" x14ac:dyDescent="0.25"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0:26" ht="11.25" customHeight="1" x14ac:dyDescent="0.25"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0:26" ht="11.25" customHeight="1" x14ac:dyDescent="0.25"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0:26" ht="11.25" customHeight="1" x14ac:dyDescent="0.25"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0:26" ht="11.25" customHeight="1" x14ac:dyDescent="0.25"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0:26" ht="11.25" customHeight="1" x14ac:dyDescent="0.25"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0:26" ht="11.25" customHeight="1" x14ac:dyDescent="0.25"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0:26" ht="11.25" customHeight="1" x14ac:dyDescent="0.25"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0:26" ht="11.25" customHeight="1" x14ac:dyDescent="0.25"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0:26" ht="11.25" customHeight="1" x14ac:dyDescent="0.25"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0:26" ht="11.25" customHeight="1" x14ac:dyDescent="0.25"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0:26" ht="11.25" customHeight="1" x14ac:dyDescent="0.25"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0:26" ht="11.25" customHeight="1" x14ac:dyDescent="0.25"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0:26" ht="11.25" customHeight="1" x14ac:dyDescent="0.25"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0:26" ht="11.25" customHeight="1" x14ac:dyDescent="0.25"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0:26" ht="11.25" customHeight="1" x14ac:dyDescent="0.25"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0:26" ht="11.25" customHeight="1" x14ac:dyDescent="0.25"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0:26" ht="11.25" customHeight="1" x14ac:dyDescent="0.25"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0:26" ht="11.25" customHeight="1" x14ac:dyDescent="0.25"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0:26" ht="11.25" customHeight="1" x14ac:dyDescent="0.25"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0:26" ht="11.25" customHeight="1" x14ac:dyDescent="0.25"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0:26" ht="11.25" customHeight="1" x14ac:dyDescent="0.25"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0:26" ht="11.25" customHeight="1" x14ac:dyDescent="0.25"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0:26" ht="11.25" customHeight="1" x14ac:dyDescent="0.25"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0:26" ht="11.25" customHeight="1" x14ac:dyDescent="0.25"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0:26" ht="11.25" customHeight="1" x14ac:dyDescent="0.25"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0:26" ht="11.25" customHeight="1" x14ac:dyDescent="0.25"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0:26" ht="11.25" customHeight="1" x14ac:dyDescent="0.25"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0:26" ht="11.25" customHeight="1" x14ac:dyDescent="0.25"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0:26" ht="11.25" customHeight="1" x14ac:dyDescent="0.25"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0:26" ht="11.25" customHeight="1" x14ac:dyDescent="0.25"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0:26" ht="11.25" customHeight="1" x14ac:dyDescent="0.25"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0:26" ht="11.25" customHeight="1" x14ac:dyDescent="0.25"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0:26" ht="11.25" customHeight="1" x14ac:dyDescent="0.25"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0:26" ht="11.25" customHeight="1" x14ac:dyDescent="0.25"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0:26" ht="11.25" customHeight="1" x14ac:dyDescent="0.25"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0:26" ht="11.25" customHeight="1" x14ac:dyDescent="0.25"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0:26" ht="11.25" customHeight="1" x14ac:dyDescent="0.25"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0:26" ht="11.25" customHeight="1" x14ac:dyDescent="0.25"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0:26" ht="11.25" customHeight="1" x14ac:dyDescent="0.25"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0:26" ht="11.25" customHeight="1" x14ac:dyDescent="0.25"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0:26" ht="11.25" customHeight="1" x14ac:dyDescent="0.25"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0:26" ht="11.25" customHeight="1" x14ac:dyDescent="0.25"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0:26" ht="11.25" customHeight="1" x14ac:dyDescent="0.25"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0:26" ht="11.25" customHeight="1" x14ac:dyDescent="0.25"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0:26" ht="11.25" customHeight="1" x14ac:dyDescent="0.25"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0:26" ht="11.25" customHeight="1" x14ac:dyDescent="0.25"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0:26" ht="11.25" customHeight="1" x14ac:dyDescent="0.25"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0:26" ht="11.25" customHeight="1" x14ac:dyDescent="0.25"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0:26" ht="11.25" customHeight="1" x14ac:dyDescent="0.25"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0:26" ht="11.25" customHeight="1" x14ac:dyDescent="0.25"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0:26" ht="11.25" customHeight="1" x14ac:dyDescent="0.25"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0:26" ht="11.25" customHeight="1" x14ac:dyDescent="0.25"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0:26" ht="11.25" customHeight="1" x14ac:dyDescent="0.25"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0:26" ht="11.25" customHeight="1" x14ac:dyDescent="0.25"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0:26" ht="11.25" customHeight="1" x14ac:dyDescent="0.25"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0:26" ht="11.25" customHeight="1" x14ac:dyDescent="0.25"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0:26" ht="11.25" customHeight="1" x14ac:dyDescent="0.25"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0:26" ht="11.25" customHeight="1" x14ac:dyDescent="0.25"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0:26" ht="11.25" customHeight="1" x14ac:dyDescent="0.25"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0:26" ht="11.25" customHeight="1" x14ac:dyDescent="0.25"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0:26" ht="11.25" customHeight="1" x14ac:dyDescent="0.25"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0:26" ht="11.25" customHeight="1" x14ac:dyDescent="0.25"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0:26" ht="11.25" customHeight="1" x14ac:dyDescent="0.25"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0:26" ht="11.25" customHeight="1" x14ac:dyDescent="0.25"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0:26" ht="11.25" customHeight="1" x14ac:dyDescent="0.25"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0:26" ht="11.25" customHeight="1" x14ac:dyDescent="0.25"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0:26" ht="11.25" customHeight="1" x14ac:dyDescent="0.25"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0:26" ht="11.25" customHeight="1" x14ac:dyDescent="0.25"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0:26" ht="11.25" customHeight="1" x14ac:dyDescent="0.25"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0:26" ht="11.25" customHeight="1" x14ac:dyDescent="0.25"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0:26" ht="11.25" customHeight="1" x14ac:dyDescent="0.25"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0:26" ht="11.25" customHeight="1" x14ac:dyDescent="0.25"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0:26" ht="11.25" customHeight="1" x14ac:dyDescent="0.25"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0:26" ht="11.25" customHeight="1" x14ac:dyDescent="0.25"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0:26" ht="11.25" customHeight="1" x14ac:dyDescent="0.25"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0:26" ht="11.25" customHeight="1" x14ac:dyDescent="0.25"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0:26" ht="11.25" customHeight="1" x14ac:dyDescent="0.25"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0:26" ht="11.25" customHeight="1" x14ac:dyDescent="0.25"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0:26" ht="11.25" customHeight="1" x14ac:dyDescent="0.25"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0:26" ht="11.25" customHeight="1" x14ac:dyDescent="0.25"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0:26" ht="11.25" customHeight="1" x14ac:dyDescent="0.25"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0:26" ht="11.25" customHeight="1" x14ac:dyDescent="0.25"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0:26" ht="11.25" customHeight="1" x14ac:dyDescent="0.25"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0:26" ht="11.25" customHeight="1" x14ac:dyDescent="0.25"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0:26" ht="11.25" customHeight="1" x14ac:dyDescent="0.25"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0:26" ht="11.25" customHeight="1" x14ac:dyDescent="0.25"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0:26" ht="11.25" customHeight="1" x14ac:dyDescent="0.25"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0:26" ht="11.25" customHeight="1" x14ac:dyDescent="0.25"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0:26" ht="11.25" customHeight="1" x14ac:dyDescent="0.25"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0:26" ht="11.25" customHeight="1" x14ac:dyDescent="0.25"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0:26" ht="11.25" customHeight="1" x14ac:dyDescent="0.25"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0:26" ht="11.25" customHeight="1" x14ac:dyDescent="0.25"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0:26" ht="11.25" customHeight="1" x14ac:dyDescent="0.25"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0:26" ht="11.25" customHeight="1" x14ac:dyDescent="0.25"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0:26" ht="11.25" customHeight="1" x14ac:dyDescent="0.25"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0:26" ht="11.25" customHeight="1" x14ac:dyDescent="0.25"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0:26" ht="11.25" customHeight="1" x14ac:dyDescent="0.25"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0:26" ht="11.25" customHeight="1" x14ac:dyDescent="0.25"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0:26" ht="11.25" customHeight="1" x14ac:dyDescent="0.25"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0:26" ht="11.25" customHeight="1" x14ac:dyDescent="0.25"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0:26" ht="11.25" customHeight="1" x14ac:dyDescent="0.25"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0:26" ht="11.25" customHeight="1" x14ac:dyDescent="0.25"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0:26" ht="11.25" customHeight="1" x14ac:dyDescent="0.25"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0:26" ht="11.25" customHeight="1" x14ac:dyDescent="0.25"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0:26" ht="11.25" customHeight="1" x14ac:dyDescent="0.25"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0:26" ht="11.25" customHeight="1" x14ac:dyDescent="0.25"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0:26" ht="11.25" customHeight="1" x14ac:dyDescent="0.25"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0:26" ht="11.25" customHeight="1" x14ac:dyDescent="0.25"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0:26" ht="11.25" customHeight="1" x14ac:dyDescent="0.25"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0:26" ht="11.25" customHeight="1" x14ac:dyDescent="0.25"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0:26" ht="11.25" customHeight="1" x14ac:dyDescent="0.25"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0:26" ht="11.25" customHeight="1" x14ac:dyDescent="0.25"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0:26" ht="11.25" customHeight="1" x14ac:dyDescent="0.25"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0:26" ht="11.25" customHeight="1" x14ac:dyDescent="0.25"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0:26" ht="11.25" customHeight="1" x14ac:dyDescent="0.25"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0:26" ht="11.25" customHeight="1" x14ac:dyDescent="0.25"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0:26" ht="11.25" customHeight="1" x14ac:dyDescent="0.25"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0:26" ht="11.25" customHeight="1" x14ac:dyDescent="0.25"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0:26" ht="11.25" customHeight="1" x14ac:dyDescent="0.25"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0:26" ht="11.25" customHeight="1" x14ac:dyDescent="0.25"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0:26" ht="11.25" customHeight="1" x14ac:dyDescent="0.25"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0:26" ht="11.25" customHeight="1" x14ac:dyDescent="0.25"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0:26" ht="11.25" customHeight="1" x14ac:dyDescent="0.25"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0:26" ht="11.25" customHeight="1" x14ac:dyDescent="0.25"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0:26" ht="11.25" customHeight="1" x14ac:dyDescent="0.25"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0:26" ht="11.25" customHeight="1" x14ac:dyDescent="0.25"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0:26" ht="11.25" customHeight="1" x14ac:dyDescent="0.25"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0:26" ht="11.25" customHeight="1" x14ac:dyDescent="0.25"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0:26" ht="11.25" customHeight="1" x14ac:dyDescent="0.25"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0:26" ht="11.25" customHeight="1" x14ac:dyDescent="0.25"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0:26" ht="11.25" customHeight="1" x14ac:dyDescent="0.25"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0:26" ht="11.25" customHeight="1" x14ac:dyDescent="0.25"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0:26" ht="11.25" customHeight="1" x14ac:dyDescent="0.25"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0:26" ht="11.25" customHeight="1" x14ac:dyDescent="0.25"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0:26" ht="11.25" customHeight="1" x14ac:dyDescent="0.25"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0:26" ht="11.25" customHeight="1" x14ac:dyDescent="0.25"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0:26" ht="11.25" customHeight="1" x14ac:dyDescent="0.25"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0:26" ht="11.25" customHeight="1" x14ac:dyDescent="0.25"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0:26" ht="11.25" customHeight="1" x14ac:dyDescent="0.25"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0:26" ht="11.25" customHeight="1" x14ac:dyDescent="0.25"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0:26" ht="11.25" customHeight="1" x14ac:dyDescent="0.25"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0:26" ht="11.25" customHeight="1" x14ac:dyDescent="0.25"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0:26" ht="11.25" customHeight="1" x14ac:dyDescent="0.25"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0:26" ht="11.25" customHeight="1" x14ac:dyDescent="0.25"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0:26" ht="11.25" customHeight="1" x14ac:dyDescent="0.25"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0:26" ht="11.25" customHeight="1" x14ac:dyDescent="0.25"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0:26" ht="11.25" customHeight="1" x14ac:dyDescent="0.25"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0:26" ht="11.25" customHeight="1" x14ac:dyDescent="0.25"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0:26" ht="11.25" customHeight="1" x14ac:dyDescent="0.25"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0:26" ht="11.25" customHeight="1" x14ac:dyDescent="0.25"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0:26" ht="11.25" customHeight="1" x14ac:dyDescent="0.25"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0:26" ht="11.25" customHeight="1" x14ac:dyDescent="0.25"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0:26" ht="11.25" customHeight="1" x14ac:dyDescent="0.25"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0:26" ht="11.25" customHeight="1" x14ac:dyDescent="0.25"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0:26" ht="11.25" customHeight="1" x14ac:dyDescent="0.25"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0:26" ht="11.25" customHeight="1" x14ac:dyDescent="0.25"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0:26" ht="11.25" customHeight="1" x14ac:dyDescent="0.25"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0:26" ht="11.25" customHeight="1" x14ac:dyDescent="0.25"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0:26" ht="11.25" customHeight="1" x14ac:dyDescent="0.25"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0:26" ht="11.25" customHeight="1" x14ac:dyDescent="0.25"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0:26" ht="11.25" customHeight="1" x14ac:dyDescent="0.25"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0:26" ht="11.25" customHeight="1" x14ac:dyDescent="0.25"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0:26" ht="11.25" customHeight="1" x14ac:dyDescent="0.25"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0:26" ht="11.25" customHeight="1" x14ac:dyDescent="0.25"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0:26" ht="11.25" customHeight="1" x14ac:dyDescent="0.25"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0:26" ht="11.25" customHeight="1" x14ac:dyDescent="0.25"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0:26" ht="11.25" customHeight="1" x14ac:dyDescent="0.25"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0:26" ht="11.25" customHeight="1" x14ac:dyDescent="0.25"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0:26" ht="11.25" customHeight="1" x14ac:dyDescent="0.25"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0:26" ht="11.25" customHeight="1" x14ac:dyDescent="0.25"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0:26" ht="11.25" customHeight="1" x14ac:dyDescent="0.25"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0:26" ht="11.25" customHeight="1" x14ac:dyDescent="0.25"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0:26" ht="11.25" customHeight="1" x14ac:dyDescent="0.25"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0:26" ht="11.25" customHeight="1" x14ac:dyDescent="0.25"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0:26" ht="11.25" customHeight="1" x14ac:dyDescent="0.25"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0:26" ht="11.25" customHeight="1" x14ac:dyDescent="0.25"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0:26" ht="11.25" customHeight="1" x14ac:dyDescent="0.25"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0:26" ht="11.25" customHeight="1" x14ac:dyDescent="0.25"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0:26" ht="11.25" customHeight="1" x14ac:dyDescent="0.25"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0:26" ht="11.25" customHeight="1" x14ac:dyDescent="0.25"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0:26" ht="11.25" customHeight="1" x14ac:dyDescent="0.25"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0:26" ht="11.25" customHeight="1" x14ac:dyDescent="0.25"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0:26" ht="11.25" customHeight="1" x14ac:dyDescent="0.25"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0:26" ht="11.25" customHeight="1" x14ac:dyDescent="0.25"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0:26" ht="11.25" customHeight="1" x14ac:dyDescent="0.25"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0:26" ht="11.25" customHeight="1" x14ac:dyDescent="0.25"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0:26" ht="11.25" customHeight="1" x14ac:dyDescent="0.25"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0:26" ht="11.25" customHeight="1" x14ac:dyDescent="0.25"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0:26" ht="11.25" customHeight="1" x14ac:dyDescent="0.25"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0:26" ht="11.25" customHeight="1" x14ac:dyDescent="0.25"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0:26" ht="11.25" customHeight="1" x14ac:dyDescent="0.25"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0:26" ht="11.25" customHeight="1" x14ac:dyDescent="0.25"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0:26" ht="11.25" customHeight="1" x14ac:dyDescent="0.25"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0:26" ht="11.25" customHeight="1" x14ac:dyDescent="0.25"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0:26" ht="11.25" customHeight="1" x14ac:dyDescent="0.25"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0:26" ht="11.25" customHeight="1" x14ac:dyDescent="0.25"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0:26" ht="11.25" customHeight="1" x14ac:dyDescent="0.25"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0:26" ht="11.25" customHeight="1" x14ac:dyDescent="0.25"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0:26" ht="11.25" customHeight="1" x14ac:dyDescent="0.25"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0:26" ht="11.25" customHeight="1" x14ac:dyDescent="0.25"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0:26" ht="11.25" customHeight="1" x14ac:dyDescent="0.25"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0:26" ht="11.25" customHeight="1" x14ac:dyDescent="0.25"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0:26" ht="11.25" customHeight="1" x14ac:dyDescent="0.25"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0:26" ht="11.25" customHeight="1" x14ac:dyDescent="0.25"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0:26" ht="11.25" customHeight="1" x14ac:dyDescent="0.25"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0:26" ht="11.25" customHeight="1" x14ac:dyDescent="0.25"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0:26" ht="11.25" customHeight="1" x14ac:dyDescent="0.25"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0:26" ht="11.25" customHeight="1" x14ac:dyDescent="0.25"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0:26" ht="11.25" customHeight="1" x14ac:dyDescent="0.25"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0:26" ht="11.25" customHeight="1" x14ac:dyDescent="0.25"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0:26" ht="11.25" customHeight="1" x14ac:dyDescent="0.25"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0:26" ht="11.25" customHeight="1" x14ac:dyDescent="0.25"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0:26" ht="11.25" customHeight="1" x14ac:dyDescent="0.25"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0:26" ht="11.25" customHeight="1" x14ac:dyDescent="0.25"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0:26" ht="11.25" customHeight="1" x14ac:dyDescent="0.25"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0:26" ht="11.25" customHeight="1" x14ac:dyDescent="0.25"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0:26" ht="11.25" customHeight="1" x14ac:dyDescent="0.25"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0:26" ht="11.25" customHeight="1" x14ac:dyDescent="0.25"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0:26" ht="11.25" customHeight="1" x14ac:dyDescent="0.25"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0:26" ht="11.25" customHeight="1" x14ac:dyDescent="0.25"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0:26" ht="11.25" customHeight="1" x14ac:dyDescent="0.25"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0:26" ht="11.25" customHeight="1" x14ac:dyDescent="0.25"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0:26" ht="11.25" customHeight="1" x14ac:dyDescent="0.25"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0:26" ht="11.25" customHeight="1" x14ac:dyDescent="0.25"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0:26" ht="11.25" customHeight="1" x14ac:dyDescent="0.25"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0:26" ht="11.25" customHeight="1" x14ac:dyDescent="0.25"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0:26" ht="11.25" customHeight="1" x14ac:dyDescent="0.25"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0:26" ht="11.25" customHeight="1" x14ac:dyDescent="0.25"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0:26" ht="11.25" customHeight="1" x14ac:dyDescent="0.25"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0:26" ht="11.25" customHeight="1" x14ac:dyDescent="0.25"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0:26" ht="11.25" customHeight="1" x14ac:dyDescent="0.25"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0:26" ht="11.25" customHeight="1" x14ac:dyDescent="0.25"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0:26" ht="11.25" customHeight="1" x14ac:dyDescent="0.25"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0:26" ht="11.25" customHeight="1" x14ac:dyDescent="0.25"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0:26" ht="11.25" customHeight="1" x14ac:dyDescent="0.25"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0:26" ht="11.25" customHeight="1" x14ac:dyDescent="0.25"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0:26" ht="11.25" customHeight="1" x14ac:dyDescent="0.25"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0:26" ht="11.25" customHeight="1" x14ac:dyDescent="0.25"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0:26" ht="11.25" customHeight="1" x14ac:dyDescent="0.25"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0:26" ht="11.25" customHeight="1" x14ac:dyDescent="0.25"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0:26" ht="11.25" customHeight="1" x14ac:dyDescent="0.25"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0:26" ht="11.25" customHeight="1" x14ac:dyDescent="0.25"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0:26" ht="11.25" customHeight="1" x14ac:dyDescent="0.25"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0:26" ht="11.25" customHeight="1" x14ac:dyDescent="0.25"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0:26" ht="11.25" customHeight="1" x14ac:dyDescent="0.25"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0:26" ht="11.25" customHeight="1" x14ac:dyDescent="0.25"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0:26" ht="11.25" customHeight="1" x14ac:dyDescent="0.25"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0:26" ht="11.25" customHeight="1" x14ac:dyDescent="0.25"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0:26" ht="11.25" customHeight="1" x14ac:dyDescent="0.25"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0:26" ht="11.25" customHeight="1" x14ac:dyDescent="0.25"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0:26" ht="11.25" customHeight="1" x14ac:dyDescent="0.25"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0:26" ht="11.25" customHeight="1" x14ac:dyDescent="0.25"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0:26" ht="11.25" customHeight="1" x14ac:dyDescent="0.25"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0:26" ht="11.25" customHeight="1" x14ac:dyDescent="0.25"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0:26" ht="11.25" customHeight="1" x14ac:dyDescent="0.25"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0:26" ht="11.25" customHeight="1" x14ac:dyDescent="0.25"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0:26" ht="11.25" customHeight="1" x14ac:dyDescent="0.25"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0:26" ht="11.25" customHeight="1" x14ac:dyDescent="0.25"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0:26" ht="11.25" customHeight="1" x14ac:dyDescent="0.25"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0:26" ht="11.25" customHeight="1" x14ac:dyDescent="0.25"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0:26" ht="11.25" customHeight="1" x14ac:dyDescent="0.25"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0:26" ht="11.25" customHeight="1" x14ac:dyDescent="0.25"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0:26" ht="11.25" customHeight="1" x14ac:dyDescent="0.25"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0:26" ht="11.25" customHeight="1" x14ac:dyDescent="0.25"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0:26" ht="11.25" customHeight="1" x14ac:dyDescent="0.25"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0:26" ht="11.25" customHeight="1" x14ac:dyDescent="0.25"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0:26" ht="11.25" customHeight="1" x14ac:dyDescent="0.25"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0:26" ht="11.25" customHeight="1" x14ac:dyDescent="0.25"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0:26" ht="11.25" customHeight="1" x14ac:dyDescent="0.25"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0:26" ht="11.25" customHeight="1" x14ac:dyDescent="0.25"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0:26" ht="11.25" customHeight="1" x14ac:dyDescent="0.25"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0:26" ht="11.25" customHeight="1" x14ac:dyDescent="0.25"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0:26" ht="11.25" customHeight="1" x14ac:dyDescent="0.25"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0:26" ht="11.25" customHeight="1" x14ac:dyDescent="0.25"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0:26" ht="11.25" customHeight="1" x14ac:dyDescent="0.25"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0:26" ht="11.25" customHeight="1" x14ac:dyDescent="0.25"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0:26" ht="11.25" customHeight="1" x14ac:dyDescent="0.25"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0:26" ht="11.25" customHeight="1" x14ac:dyDescent="0.25"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0:26" ht="11.25" customHeight="1" x14ac:dyDescent="0.25"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0:26" ht="11.25" customHeight="1" x14ac:dyDescent="0.25"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0:26" ht="11.25" customHeight="1" x14ac:dyDescent="0.25"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0:26" ht="11.25" customHeight="1" x14ac:dyDescent="0.25"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0:26" ht="11.25" customHeight="1" x14ac:dyDescent="0.25"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0:26" ht="11.25" customHeight="1" x14ac:dyDescent="0.25"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0:26" ht="11.25" customHeight="1" x14ac:dyDescent="0.25"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0:26" ht="11.25" customHeight="1" x14ac:dyDescent="0.25"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0:26" ht="11.25" customHeight="1" x14ac:dyDescent="0.25"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0:26" ht="11.25" customHeight="1" x14ac:dyDescent="0.25"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0:26" ht="11.25" customHeight="1" x14ac:dyDescent="0.25"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0:26" ht="11.25" customHeight="1" x14ac:dyDescent="0.25"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0:26" ht="11.25" customHeight="1" x14ac:dyDescent="0.25"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0:26" ht="11.25" customHeight="1" x14ac:dyDescent="0.25"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0:26" ht="11.25" customHeight="1" x14ac:dyDescent="0.25"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0:26" ht="11.25" customHeight="1" x14ac:dyDescent="0.25"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0:26" ht="11.25" customHeight="1" x14ac:dyDescent="0.25"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0:26" ht="11.25" customHeight="1" x14ac:dyDescent="0.25"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0:26" ht="11.25" customHeight="1" x14ac:dyDescent="0.25"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0:26" ht="11.25" customHeight="1" x14ac:dyDescent="0.25"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0:26" ht="11.25" customHeight="1" x14ac:dyDescent="0.25"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0:26" ht="11.25" customHeight="1" x14ac:dyDescent="0.25"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0:26" ht="11.25" customHeight="1" x14ac:dyDescent="0.25"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0:26" ht="11.25" customHeight="1" x14ac:dyDescent="0.25"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0:26" ht="11.25" customHeight="1" x14ac:dyDescent="0.25"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0:26" ht="11.25" customHeight="1" x14ac:dyDescent="0.25"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0:26" ht="11.25" customHeight="1" x14ac:dyDescent="0.25"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0:26" ht="11.25" customHeight="1" x14ac:dyDescent="0.25"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0:26" ht="11.25" customHeight="1" x14ac:dyDescent="0.25"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0:26" ht="11.25" customHeight="1" x14ac:dyDescent="0.25"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0:26" ht="11.25" customHeight="1" x14ac:dyDescent="0.25"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0:26" ht="11.25" customHeight="1" x14ac:dyDescent="0.25"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0:26" ht="11.25" customHeight="1" x14ac:dyDescent="0.25"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0:26" ht="11.25" customHeight="1" x14ac:dyDescent="0.25"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0:26" ht="11.25" customHeight="1" x14ac:dyDescent="0.25"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0:26" ht="11.25" customHeight="1" x14ac:dyDescent="0.25"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0:26" ht="11.25" customHeight="1" x14ac:dyDescent="0.25"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0:26" ht="11.25" customHeight="1" x14ac:dyDescent="0.25"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0:26" ht="11.25" customHeight="1" x14ac:dyDescent="0.25"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0:26" ht="11.25" customHeight="1" x14ac:dyDescent="0.25"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0:26" ht="11.25" customHeight="1" x14ac:dyDescent="0.25"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0:26" ht="11.25" customHeight="1" x14ac:dyDescent="0.25"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0:26" ht="11.25" customHeight="1" x14ac:dyDescent="0.25"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0:26" ht="11.25" customHeight="1" x14ac:dyDescent="0.25"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0:26" ht="11.25" customHeight="1" x14ac:dyDescent="0.25"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0:26" ht="11.25" customHeight="1" x14ac:dyDescent="0.25"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0:26" ht="11.25" customHeight="1" x14ac:dyDescent="0.25"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0:26" ht="11.25" customHeight="1" x14ac:dyDescent="0.25"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0:26" ht="11.25" customHeight="1" x14ac:dyDescent="0.25"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0:26" ht="11.25" customHeight="1" x14ac:dyDescent="0.25"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0:26" ht="11.25" customHeight="1" x14ac:dyDescent="0.25"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0:26" ht="11.25" customHeight="1" x14ac:dyDescent="0.25"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0:26" ht="11.25" customHeight="1" x14ac:dyDescent="0.25"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0:26" ht="11.25" customHeight="1" x14ac:dyDescent="0.25"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0:26" ht="11.25" customHeight="1" x14ac:dyDescent="0.25"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0:26" ht="11.25" customHeight="1" x14ac:dyDescent="0.25"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0:26" ht="11.25" customHeight="1" x14ac:dyDescent="0.25"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0:26" ht="11.25" customHeight="1" x14ac:dyDescent="0.25"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0:26" ht="11.25" customHeight="1" x14ac:dyDescent="0.25"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0:26" ht="11.25" customHeight="1" x14ac:dyDescent="0.25"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0:26" ht="11.25" customHeight="1" x14ac:dyDescent="0.25"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0:26" ht="11.25" customHeight="1" x14ac:dyDescent="0.25"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0:26" ht="11.25" customHeight="1" x14ac:dyDescent="0.25"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0:26" ht="11.25" customHeight="1" x14ac:dyDescent="0.25"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0:26" ht="11.25" customHeight="1" x14ac:dyDescent="0.25"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0:26" ht="11.25" customHeight="1" x14ac:dyDescent="0.25"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0:26" ht="11.25" customHeight="1" x14ac:dyDescent="0.25"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0:26" ht="11.25" customHeight="1" x14ac:dyDescent="0.25"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0:26" ht="11.25" customHeight="1" x14ac:dyDescent="0.25"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0:26" ht="11.25" customHeight="1" x14ac:dyDescent="0.25"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0:26" ht="11.25" customHeight="1" x14ac:dyDescent="0.25"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0:26" ht="11.25" customHeight="1" x14ac:dyDescent="0.25"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0:26" ht="11.25" customHeight="1" x14ac:dyDescent="0.25"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0:26" ht="11.25" customHeight="1" x14ac:dyDescent="0.25"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0:26" ht="11.25" customHeight="1" x14ac:dyDescent="0.25"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0:26" ht="11.25" customHeight="1" x14ac:dyDescent="0.25"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0:26" ht="11.25" customHeight="1" x14ac:dyDescent="0.25"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0:26" ht="11.25" customHeight="1" x14ac:dyDescent="0.25"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0:26" ht="11.25" customHeight="1" x14ac:dyDescent="0.25"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0:26" ht="11.25" customHeight="1" x14ac:dyDescent="0.25"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0:26" ht="11.25" customHeight="1" x14ac:dyDescent="0.25"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0:26" ht="11.25" customHeight="1" x14ac:dyDescent="0.25"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0:26" ht="11.25" customHeight="1" x14ac:dyDescent="0.25"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0:26" ht="11.25" customHeight="1" x14ac:dyDescent="0.25"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0:26" ht="11.25" customHeight="1" x14ac:dyDescent="0.25"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0:26" ht="11.25" customHeight="1" x14ac:dyDescent="0.25"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0:26" ht="11.25" customHeight="1" x14ac:dyDescent="0.25"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0:26" ht="11.25" customHeight="1" x14ac:dyDescent="0.25"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0:26" ht="11.25" customHeight="1" x14ac:dyDescent="0.25"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0:26" ht="11.25" customHeight="1" x14ac:dyDescent="0.25"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0:26" ht="11.25" customHeight="1" x14ac:dyDescent="0.25"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0:26" ht="11.25" customHeight="1" x14ac:dyDescent="0.25"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0:26" ht="11.25" customHeight="1" x14ac:dyDescent="0.25"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0:26" ht="11.25" customHeight="1" x14ac:dyDescent="0.25"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0:26" ht="11.25" customHeight="1" x14ac:dyDescent="0.25"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0:26" ht="11.25" customHeight="1" x14ac:dyDescent="0.25"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0:26" ht="11.25" customHeight="1" x14ac:dyDescent="0.25"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0:26" ht="11.25" customHeight="1" x14ac:dyDescent="0.25"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0:26" ht="11.25" customHeight="1" x14ac:dyDescent="0.25"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0:26" ht="11.25" customHeight="1" x14ac:dyDescent="0.25"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0:26" ht="11.25" customHeight="1" x14ac:dyDescent="0.25"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0:26" ht="11.25" customHeight="1" x14ac:dyDescent="0.25"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0:26" ht="11.25" customHeight="1" x14ac:dyDescent="0.25"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0:26" ht="11.25" customHeight="1" x14ac:dyDescent="0.25"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0:26" ht="11.25" customHeight="1" x14ac:dyDescent="0.25"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0:26" ht="11.25" customHeight="1" x14ac:dyDescent="0.25"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0:26" ht="11.25" customHeight="1" x14ac:dyDescent="0.25"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0:26" ht="11.25" customHeight="1" x14ac:dyDescent="0.25"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0:26" ht="11.25" customHeight="1" x14ac:dyDescent="0.25"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0:26" ht="11.25" customHeight="1" x14ac:dyDescent="0.25"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0:26" ht="11.25" customHeight="1" x14ac:dyDescent="0.25"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0:26" ht="11.25" customHeight="1" x14ac:dyDescent="0.25"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0:26" ht="11.25" customHeight="1" x14ac:dyDescent="0.25"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0:26" ht="11.25" customHeight="1" x14ac:dyDescent="0.25"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0:26" ht="11.25" customHeight="1" x14ac:dyDescent="0.25"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0:26" ht="11.25" customHeight="1" x14ac:dyDescent="0.25"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0:26" ht="11.25" customHeight="1" x14ac:dyDescent="0.25"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0:26" ht="11.25" customHeight="1" x14ac:dyDescent="0.25"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0:26" ht="11.25" customHeight="1" x14ac:dyDescent="0.25"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0:26" ht="11.25" customHeight="1" x14ac:dyDescent="0.25"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0:26" ht="11.25" customHeight="1" x14ac:dyDescent="0.25"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0:26" ht="11.25" customHeight="1" x14ac:dyDescent="0.25"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0:26" ht="11.25" customHeight="1" x14ac:dyDescent="0.25"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0:26" ht="11.25" customHeight="1" x14ac:dyDescent="0.25"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0:26" ht="11.25" customHeight="1" x14ac:dyDescent="0.25"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0:26" ht="11.25" customHeight="1" x14ac:dyDescent="0.25"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0:26" ht="11.25" customHeight="1" x14ac:dyDescent="0.25"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0:26" ht="11.25" customHeight="1" x14ac:dyDescent="0.25"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0:26" ht="11.25" customHeight="1" x14ac:dyDescent="0.25"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0:26" ht="11.25" customHeight="1" x14ac:dyDescent="0.25"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0:26" ht="11.25" customHeight="1" x14ac:dyDescent="0.25"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0:26" ht="11.25" customHeight="1" x14ac:dyDescent="0.25"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0:26" ht="11.25" customHeight="1" x14ac:dyDescent="0.25"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0:26" ht="11.25" customHeight="1" x14ac:dyDescent="0.25"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0:26" ht="11.25" customHeight="1" x14ac:dyDescent="0.25"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0:26" ht="11.25" customHeight="1" x14ac:dyDescent="0.25"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0:26" ht="11.25" customHeight="1" x14ac:dyDescent="0.25"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0:26" ht="11.25" customHeight="1" x14ac:dyDescent="0.25"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0:26" ht="11.25" customHeight="1" x14ac:dyDescent="0.25"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0:26" ht="11.25" customHeight="1" x14ac:dyDescent="0.25"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0:26" ht="11.25" customHeight="1" x14ac:dyDescent="0.25"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0:26" ht="11.25" customHeight="1" x14ac:dyDescent="0.25"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0:26" ht="11.25" customHeight="1" x14ac:dyDescent="0.25"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0:26" ht="11.25" customHeight="1" x14ac:dyDescent="0.25"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0:26" ht="11.25" customHeight="1" x14ac:dyDescent="0.25"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0:26" ht="11.25" customHeight="1" x14ac:dyDescent="0.25"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0:26" ht="11.25" customHeight="1" x14ac:dyDescent="0.25"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0:26" ht="11.25" customHeight="1" x14ac:dyDescent="0.25"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0:26" ht="11.25" customHeight="1" x14ac:dyDescent="0.25"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0:26" ht="11.25" customHeight="1" x14ac:dyDescent="0.25"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0:26" ht="11.25" customHeight="1" x14ac:dyDescent="0.25"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0:26" ht="11.25" customHeight="1" x14ac:dyDescent="0.25"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0:26" ht="11.25" customHeight="1" x14ac:dyDescent="0.25"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0:26" ht="11.25" customHeight="1" x14ac:dyDescent="0.25"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0:26" ht="11.25" customHeight="1" x14ac:dyDescent="0.25"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0:26" ht="11.25" customHeight="1" x14ac:dyDescent="0.25"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0:26" ht="11.25" customHeight="1" x14ac:dyDescent="0.25"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0:26" ht="11.25" customHeight="1" x14ac:dyDescent="0.25"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0:26" ht="11.25" customHeight="1" x14ac:dyDescent="0.25"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0:26" ht="11.25" customHeight="1" x14ac:dyDescent="0.25"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0:26" ht="11.25" customHeight="1" x14ac:dyDescent="0.25"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0:26" ht="11.25" customHeight="1" x14ac:dyDescent="0.25"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0:26" ht="11.25" customHeight="1" x14ac:dyDescent="0.25"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0:26" ht="11.25" customHeight="1" x14ac:dyDescent="0.25"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0:26" ht="11.25" customHeight="1" x14ac:dyDescent="0.25"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0:26" ht="11.25" customHeight="1" x14ac:dyDescent="0.25"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0:26" ht="11.25" customHeight="1" x14ac:dyDescent="0.25"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0:26" ht="11.25" customHeight="1" x14ac:dyDescent="0.25"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0:26" ht="11.25" customHeight="1" x14ac:dyDescent="0.25"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0:26" ht="11.25" customHeight="1" x14ac:dyDescent="0.25"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0:26" ht="11.25" customHeight="1" x14ac:dyDescent="0.25"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0:26" ht="11.25" customHeight="1" x14ac:dyDescent="0.25"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0:26" ht="11.25" customHeight="1" x14ac:dyDescent="0.25"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0:26" ht="11.25" customHeight="1" x14ac:dyDescent="0.25"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0:26" ht="11.25" customHeight="1" x14ac:dyDescent="0.25"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0:26" ht="11.25" customHeight="1" x14ac:dyDescent="0.25"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0:26" ht="11.25" customHeight="1" x14ac:dyDescent="0.25"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0:26" ht="11.25" customHeight="1" x14ac:dyDescent="0.25"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0:26" ht="11.25" customHeight="1" x14ac:dyDescent="0.25"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0:26" ht="11.25" customHeight="1" x14ac:dyDescent="0.25"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0:26" ht="11.25" customHeight="1" x14ac:dyDescent="0.25"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0:26" ht="11.25" customHeight="1" x14ac:dyDescent="0.25"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0:26" ht="11.25" customHeight="1" x14ac:dyDescent="0.25"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0:26" ht="11.25" customHeight="1" x14ac:dyDescent="0.25"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0:26" ht="11.25" customHeight="1" x14ac:dyDescent="0.25"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0:26" ht="11.25" customHeight="1" x14ac:dyDescent="0.25"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0:26" ht="11.25" customHeight="1" x14ac:dyDescent="0.25"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0:26" ht="11.25" customHeight="1" x14ac:dyDescent="0.25"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0:26" ht="11.25" customHeight="1" x14ac:dyDescent="0.25"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0:26" ht="11.25" customHeight="1" x14ac:dyDescent="0.25"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0:26" ht="11.25" customHeight="1" x14ac:dyDescent="0.25"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0:26" ht="11.25" customHeight="1" x14ac:dyDescent="0.25"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0:26" ht="11.25" customHeight="1" x14ac:dyDescent="0.25"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0:26" ht="11.25" customHeight="1" x14ac:dyDescent="0.25"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0:26" ht="11.25" customHeight="1" x14ac:dyDescent="0.25"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0:26" ht="11.25" customHeight="1" x14ac:dyDescent="0.25"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0:26" ht="11.25" customHeight="1" x14ac:dyDescent="0.25"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0:26" ht="11.25" customHeight="1" x14ac:dyDescent="0.25"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0:26" ht="11.25" customHeight="1" x14ac:dyDescent="0.25"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0:26" ht="11.25" customHeight="1" x14ac:dyDescent="0.25"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0:26" ht="11.25" customHeight="1" x14ac:dyDescent="0.25"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0:26" ht="11.25" customHeight="1" x14ac:dyDescent="0.25"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0:26" ht="11.25" customHeight="1" x14ac:dyDescent="0.25"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0:26" ht="11.25" customHeight="1" x14ac:dyDescent="0.25"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0:26" ht="11.25" customHeight="1" x14ac:dyDescent="0.25"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0:26" ht="11.25" customHeight="1" x14ac:dyDescent="0.25"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0:26" ht="11.25" customHeight="1" x14ac:dyDescent="0.25"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0:26" ht="11.25" customHeight="1" x14ac:dyDescent="0.25"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0:26" ht="11.25" customHeight="1" x14ac:dyDescent="0.25"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0:26" ht="11.25" customHeight="1" x14ac:dyDescent="0.25"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0:26" ht="11.25" customHeight="1" x14ac:dyDescent="0.25"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0:26" ht="11.25" customHeight="1" x14ac:dyDescent="0.25"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0:26" ht="11.25" customHeight="1" x14ac:dyDescent="0.25"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0:26" ht="11.25" customHeight="1" x14ac:dyDescent="0.25"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0:26" ht="11.25" customHeight="1" x14ac:dyDescent="0.25"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0:26" ht="11.25" customHeight="1" x14ac:dyDescent="0.25"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0:26" ht="11.25" customHeight="1" x14ac:dyDescent="0.25"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0:26" ht="11.25" customHeight="1" x14ac:dyDescent="0.25"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0:26" ht="11.25" customHeight="1" x14ac:dyDescent="0.25"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0:26" ht="11.25" customHeight="1" x14ac:dyDescent="0.25"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0:26" ht="11.25" customHeight="1" x14ac:dyDescent="0.25"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0:26" ht="11.25" customHeight="1" x14ac:dyDescent="0.25"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0:26" ht="11.25" customHeight="1" x14ac:dyDescent="0.25"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0:26" ht="11.25" customHeight="1" x14ac:dyDescent="0.25"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0:26" ht="11.25" customHeight="1" x14ac:dyDescent="0.25"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0:26" ht="11.25" customHeight="1" x14ac:dyDescent="0.25"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0:26" ht="11.25" customHeight="1" x14ac:dyDescent="0.25"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0:26" ht="11.25" customHeight="1" x14ac:dyDescent="0.25"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0:26" ht="11.25" customHeight="1" x14ac:dyDescent="0.25"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0:26" ht="11.25" customHeight="1" x14ac:dyDescent="0.25"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0:26" ht="11.25" customHeight="1" x14ac:dyDescent="0.25"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0:26" ht="11.25" customHeight="1" x14ac:dyDescent="0.25"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0:26" ht="11.25" customHeight="1" x14ac:dyDescent="0.25"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0:26" ht="11.25" customHeight="1" x14ac:dyDescent="0.25"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0:26" ht="11.25" customHeight="1" x14ac:dyDescent="0.25"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0:26" ht="11.25" customHeight="1" x14ac:dyDescent="0.25"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0:26" ht="11.25" customHeight="1" x14ac:dyDescent="0.25"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0:26" ht="11.25" customHeight="1" x14ac:dyDescent="0.25"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0:26" ht="11.25" customHeight="1" x14ac:dyDescent="0.25"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0:26" ht="11.25" customHeight="1" x14ac:dyDescent="0.25"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0:26" ht="11.25" customHeight="1" x14ac:dyDescent="0.25"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0:26" ht="11.25" customHeight="1" x14ac:dyDescent="0.25"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0:26" ht="11.25" customHeight="1" x14ac:dyDescent="0.25"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0:26" ht="11.25" customHeight="1" x14ac:dyDescent="0.25"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0:26" ht="11.25" customHeight="1" x14ac:dyDescent="0.25"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0:26" ht="11.25" customHeight="1" x14ac:dyDescent="0.25"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0:26" ht="11.25" customHeight="1" x14ac:dyDescent="0.25"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0:26" ht="11.25" customHeight="1" x14ac:dyDescent="0.25"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0:26" ht="11.25" customHeight="1" x14ac:dyDescent="0.25"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0:26" ht="11.25" customHeight="1" x14ac:dyDescent="0.25"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0:26" ht="11.25" customHeight="1" x14ac:dyDescent="0.25"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0:26" ht="11.25" customHeight="1" x14ac:dyDescent="0.25"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0:26" ht="11.25" customHeight="1" x14ac:dyDescent="0.25"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0:26" ht="11.25" customHeight="1" x14ac:dyDescent="0.25"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0:26" ht="11.25" customHeight="1" x14ac:dyDescent="0.25"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0:26" ht="11.25" customHeight="1" x14ac:dyDescent="0.25"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0:26" ht="11.25" customHeight="1" x14ac:dyDescent="0.25"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0:26" ht="11.25" customHeight="1" x14ac:dyDescent="0.25"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0:26" ht="11.25" customHeight="1" x14ac:dyDescent="0.25"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0:26" ht="11.25" customHeight="1" x14ac:dyDescent="0.25"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0:26" ht="11.25" customHeight="1" x14ac:dyDescent="0.25"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0:26" ht="11.25" customHeight="1" x14ac:dyDescent="0.25"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0:26" ht="11.25" customHeight="1" x14ac:dyDescent="0.25"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0:26" ht="11.25" customHeight="1" x14ac:dyDescent="0.25"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0:26" ht="11.25" customHeight="1" x14ac:dyDescent="0.25"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0:26" ht="11.25" customHeight="1" x14ac:dyDescent="0.25"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0:26" ht="11.25" customHeight="1" x14ac:dyDescent="0.25"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0:26" ht="11.25" customHeight="1" x14ac:dyDescent="0.25"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0:26" ht="11.25" customHeight="1" x14ac:dyDescent="0.25"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0:26" ht="11.25" customHeight="1" x14ac:dyDescent="0.25"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0:26" ht="11.25" customHeight="1" x14ac:dyDescent="0.25"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0:26" ht="11.25" customHeight="1" x14ac:dyDescent="0.25"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0:26" ht="11.25" customHeight="1" x14ac:dyDescent="0.25"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0:26" ht="11.25" customHeight="1" x14ac:dyDescent="0.25"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0:26" ht="11.25" customHeight="1" x14ac:dyDescent="0.25"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0:26" ht="11.25" customHeight="1" x14ac:dyDescent="0.25"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0:26" ht="11.25" customHeight="1" x14ac:dyDescent="0.25"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0:26" ht="11.25" customHeight="1" x14ac:dyDescent="0.25"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0:26" ht="11.25" customHeight="1" x14ac:dyDescent="0.25"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0:26" ht="11.25" customHeight="1" x14ac:dyDescent="0.25"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0:26" ht="11.25" customHeight="1" x14ac:dyDescent="0.25"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0:26" ht="11.25" customHeight="1" x14ac:dyDescent="0.25"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0:26" ht="11.25" customHeight="1" x14ac:dyDescent="0.25"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0:26" ht="11.25" customHeight="1" x14ac:dyDescent="0.25"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0:26" ht="11.25" customHeight="1" x14ac:dyDescent="0.25"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0:26" ht="11.25" customHeight="1" x14ac:dyDescent="0.25"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0:26" ht="11.25" customHeight="1" x14ac:dyDescent="0.25"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0:26" ht="11.25" customHeight="1" x14ac:dyDescent="0.25"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0:26" ht="11.25" customHeight="1" x14ac:dyDescent="0.25"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0:26" ht="11.25" customHeight="1" x14ac:dyDescent="0.25"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0:26" ht="11.25" customHeight="1" x14ac:dyDescent="0.25"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0:26" ht="11.25" customHeight="1" x14ac:dyDescent="0.25"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0:26" ht="11.25" customHeight="1" x14ac:dyDescent="0.25"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0:26" ht="11.25" customHeight="1" x14ac:dyDescent="0.25"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0:26" ht="11.25" customHeight="1" x14ac:dyDescent="0.25"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0:26" ht="11.25" customHeight="1" x14ac:dyDescent="0.25"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0:26" ht="11.25" customHeight="1" x14ac:dyDescent="0.25"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0:26" ht="11.25" customHeight="1" x14ac:dyDescent="0.25"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0:26" ht="11.25" customHeight="1" x14ac:dyDescent="0.25"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0:26" ht="11.25" customHeight="1" x14ac:dyDescent="0.25"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0:26" ht="11.25" customHeight="1" x14ac:dyDescent="0.25"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0:26" ht="11.25" customHeight="1" x14ac:dyDescent="0.25"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0:26" ht="11.25" customHeight="1" x14ac:dyDescent="0.25"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0:26" ht="11.25" customHeight="1" x14ac:dyDescent="0.25"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0:26" ht="11.25" customHeight="1" x14ac:dyDescent="0.25"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0:26" ht="11.25" customHeight="1" x14ac:dyDescent="0.25"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0:26" ht="11.25" customHeight="1" x14ac:dyDescent="0.25"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0:26" ht="11.25" customHeight="1" x14ac:dyDescent="0.25"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0:26" ht="11.25" customHeight="1" x14ac:dyDescent="0.25"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0:26" ht="11.25" customHeight="1" x14ac:dyDescent="0.25"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0:26" ht="11.25" customHeight="1" x14ac:dyDescent="0.25"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0:26" ht="11.25" customHeight="1" x14ac:dyDescent="0.25"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0:26" ht="11.25" customHeight="1" x14ac:dyDescent="0.25"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0:26" ht="11.25" customHeight="1" x14ac:dyDescent="0.25"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0:26" ht="11.25" customHeight="1" x14ac:dyDescent="0.25"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0:26" ht="11.25" customHeight="1" x14ac:dyDescent="0.25"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0:26" ht="11.25" customHeight="1" x14ac:dyDescent="0.25"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0:26" ht="11.25" customHeight="1" x14ac:dyDescent="0.25"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0:26" ht="11.25" customHeight="1" x14ac:dyDescent="0.25"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0:26" ht="11.25" customHeight="1" x14ac:dyDescent="0.25"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0:26" ht="11.25" customHeight="1" x14ac:dyDescent="0.25"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0:26" ht="11.25" customHeight="1" x14ac:dyDescent="0.25"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0:26" ht="11.25" customHeight="1" x14ac:dyDescent="0.25"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0:26" ht="11.25" customHeight="1" x14ac:dyDescent="0.25"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0:26" ht="11.25" customHeight="1" x14ac:dyDescent="0.25"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0:26" ht="11.25" customHeight="1" x14ac:dyDescent="0.25"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0:26" ht="11.25" customHeight="1" x14ac:dyDescent="0.25"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0:26" ht="11.25" customHeight="1" x14ac:dyDescent="0.25"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2"/>
  <sheetViews>
    <sheetView showGridLines="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baseColWidth="10" defaultColWidth="12.5703125" defaultRowHeight="15" customHeight="1" x14ac:dyDescent="0.25"/>
  <cols>
    <col min="1" max="1" width="44.28515625" bestFit="1" customWidth="1"/>
    <col min="2" max="2" width="5.7109375" bestFit="1" customWidth="1"/>
    <col min="3" max="9" width="6.140625" bestFit="1" customWidth="1"/>
    <col min="10" max="12" width="11.42578125" customWidth="1"/>
    <col min="13" max="26" width="10.5703125" customWidth="1"/>
  </cols>
  <sheetData>
    <row r="1" spans="1:26" ht="11.25" customHeight="1" x14ac:dyDescent="0.25">
      <c r="A1" s="1" t="s">
        <v>0</v>
      </c>
      <c r="B1" s="60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1.25" customHeight="1" x14ac:dyDescent="0.25">
      <c r="A2" s="3" t="s">
        <v>1</v>
      </c>
      <c r="B2" s="61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1.25" customHeight="1" x14ac:dyDescent="0.25">
      <c r="A3" s="4" t="s">
        <v>2</v>
      </c>
      <c r="B3" s="62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1.25" customHeight="1" x14ac:dyDescent="0.25">
      <c r="A4" s="3"/>
      <c r="B4" s="61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1.25" customHeight="1" x14ac:dyDescent="0.25">
      <c r="A5" s="44" t="s">
        <v>118</v>
      </c>
      <c r="B5" s="63" t="s">
        <v>4</v>
      </c>
      <c r="C5" s="49" t="s">
        <v>5</v>
      </c>
      <c r="D5" s="49" t="s">
        <v>6</v>
      </c>
      <c r="E5" s="49" t="s">
        <v>7</v>
      </c>
      <c r="F5" s="49" t="s">
        <v>8</v>
      </c>
      <c r="G5" s="49" t="s">
        <v>9</v>
      </c>
      <c r="H5" s="49" t="s">
        <v>10</v>
      </c>
      <c r="I5" s="49" t="s">
        <v>11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1.25" customHeight="1" x14ac:dyDescent="0.25">
      <c r="A6" s="64" t="s">
        <v>119</v>
      </c>
      <c r="B6" s="14"/>
      <c r="C6" s="22"/>
      <c r="D6" s="22"/>
      <c r="E6" s="22"/>
      <c r="F6" s="22"/>
      <c r="G6" s="22"/>
      <c r="H6" s="22"/>
      <c r="I6" s="22"/>
      <c r="J6" s="65"/>
      <c r="K6" s="65"/>
      <c r="L6" s="65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1.25" customHeight="1" x14ac:dyDescent="0.25">
      <c r="A7" s="3" t="s">
        <v>120</v>
      </c>
      <c r="B7" s="14">
        <v>0</v>
      </c>
      <c r="C7" s="19">
        <v>1334</v>
      </c>
      <c r="D7" s="19">
        <v>2615</v>
      </c>
      <c r="E7" s="27">
        <f>'Cash Flow Statement'!E37-Schedules!E152</f>
        <v>3587.6030689886652</v>
      </c>
      <c r="F7" s="27">
        <f>'Cash Flow Statement'!F37-Schedules!F152</f>
        <v>4601.7599906433425</v>
      </c>
      <c r="G7" s="27">
        <f>'Cash Flow Statement'!G37-Schedules!G152</f>
        <v>5624.1028252161177</v>
      </c>
      <c r="H7" s="27">
        <f>'Cash Flow Statement'!H37-Schedules!H152</f>
        <v>6654.7666761279443</v>
      </c>
      <c r="I7" s="27">
        <f>'Cash Flow Statement'!I37-Schedules!I152</f>
        <v>7693.8890273466095</v>
      </c>
      <c r="J7" s="65"/>
      <c r="K7" s="65"/>
      <c r="L7" s="65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1.25" customHeight="1" x14ac:dyDescent="0.25">
      <c r="A8" s="3" t="s">
        <v>34</v>
      </c>
      <c r="B8" s="14">
        <v>0</v>
      </c>
      <c r="C8" s="19">
        <v>2147</v>
      </c>
      <c r="D8" s="19">
        <v>2254</v>
      </c>
      <c r="E8" s="27">
        <f>Schedules!E51</f>
        <v>2258.8683887237057</v>
      </c>
      <c r="F8" s="27">
        <f>Schedules!F51</f>
        <v>2263.8169624269058</v>
      </c>
      <c r="G8" s="27">
        <f>Schedules!G51</f>
        <v>2268.8471337835545</v>
      </c>
      <c r="H8" s="27">
        <f>Schedules!H51</f>
        <v>2273.960340467524</v>
      </c>
      <c r="I8" s="27">
        <f>Schedules!I51</f>
        <v>2279.1580455951507</v>
      </c>
      <c r="J8" s="65"/>
      <c r="K8" s="65"/>
      <c r="L8" s="65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1.25" customHeight="1" x14ac:dyDescent="0.25">
      <c r="A9" s="45" t="s">
        <v>36</v>
      </c>
      <c r="B9" s="14">
        <v>0</v>
      </c>
      <c r="C9" s="19">
        <v>3376</v>
      </c>
      <c r="D9" s="19">
        <v>3167</v>
      </c>
      <c r="E9" s="27">
        <f>Schedules!E55</f>
        <v>3173.8403669423142</v>
      </c>
      <c r="F9" s="27">
        <f>Schedules!F55</f>
        <v>3180.7933984055062</v>
      </c>
      <c r="G9" s="27">
        <f>Schedules!G55</f>
        <v>3187.8610792779582</v>
      </c>
      <c r="H9" s="27">
        <f>Schedules!H55</f>
        <v>3195.0454295743784</v>
      </c>
      <c r="I9" s="27">
        <f>Schedules!I55</f>
        <v>3202.3485050576051</v>
      </c>
      <c r="J9" s="65"/>
      <c r="K9" s="65"/>
      <c r="L9" s="65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1.25" customHeight="1" x14ac:dyDescent="0.25">
      <c r="A10" s="3" t="s">
        <v>41</v>
      </c>
      <c r="B10" s="14">
        <v>0</v>
      </c>
      <c r="C10" s="19">
        <v>215</v>
      </c>
      <c r="D10" s="19">
        <v>291</v>
      </c>
      <c r="E10" s="27">
        <f>'Income Statement'!E6*Schedules!E64</f>
        <v>249.77836783798654</v>
      </c>
      <c r="F10" s="27">
        <f>'Income Statement'!F6*Schedules!F64</f>
        <v>250.32556512884318</v>
      </c>
      <c r="G10" s="27">
        <f>'Income Statement'!G6*Schedules!G64</f>
        <v>250.88178522456951</v>
      </c>
      <c r="H10" s="27">
        <f>'Income Statement'!H6*Schedules!H64</f>
        <v>251.44718709849712</v>
      </c>
      <c r="I10" s="27">
        <f>'Income Statement'!I6*Schedules!I64</f>
        <v>252.021932537303</v>
      </c>
      <c r="J10" s="65"/>
      <c r="K10" s="65"/>
      <c r="L10" s="65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1.25" customHeight="1" x14ac:dyDescent="0.25">
      <c r="A11" s="3" t="s">
        <v>121</v>
      </c>
      <c r="B11" s="14">
        <v>0</v>
      </c>
      <c r="C11" s="14">
        <v>0</v>
      </c>
      <c r="D11" s="19">
        <v>1060</v>
      </c>
      <c r="E11" s="20">
        <f t="shared" ref="E11:I11" si="0">D11</f>
        <v>1060</v>
      </c>
      <c r="F11" s="20">
        <f t="shared" si="0"/>
        <v>1060</v>
      </c>
      <c r="G11" s="20">
        <f t="shared" si="0"/>
        <v>1060</v>
      </c>
      <c r="H11" s="20">
        <f t="shared" si="0"/>
        <v>1060</v>
      </c>
      <c r="I11" s="20">
        <f t="shared" si="0"/>
        <v>1060</v>
      </c>
      <c r="J11" s="65"/>
      <c r="K11" s="65"/>
      <c r="L11" s="65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1.25" customHeight="1" x14ac:dyDescent="0.25">
      <c r="A12" s="3" t="s">
        <v>92</v>
      </c>
      <c r="B12" s="14">
        <v>0</v>
      </c>
      <c r="C12" s="19">
        <v>583</v>
      </c>
      <c r="D12" s="19">
        <v>588</v>
      </c>
      <c r="E12" s="20">
        <f t="shared" ref="E12:I12" si="1">D12</f>
        <v>588</v>
      </c>
      <c r="F12" s="20">
        <f t="shared" si="1"/>
        <v>588</v>
      </c>
      <c r="G12" s="20">
        <f t="shared" si="1"/>
        <v>588</v>
      </c>
      <c r="H12" s="20">
        <f t="shared" si="1"/>
        <v>588</v>
      </c>
      <c r="I12" s="20">
        <f t="shared" si="1"/>
        <v>588</v>
      </c>
      <c r="J12" s="65"/>
      <c r="K12" s="66"/>
      <c r="L12" s="65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1.25" customHeight="1" x14ac:dyDescent="0.25">
      <c r="A13" s="3" t="s">
        <v>122</v>
      </c>
      <c r="B13" s="67">
        <v>0</v>
      </c>
      <c r="C13" s="67">
        <v>0</v>
      </c>
      <c r="D13" s="54">
        <v>152</v>
      </c>
      <c r="E13" s="55">
        <f t="shared" ref="E13:I13" si="2">D13</f>
        <v>152</v>
      </c>
      <c r="F13" s="55">
        <f t="shared" si="2"/>
        <v>152</v>
      </c>
      <c r="G13" s="55">
        <f t="shared" si="2"/>
        <v>152</v>
      </c>
      <c r="H13" s="55">
        <f t="shared" si="2"/>
        <v>152</v>
      </c>
      <c r="I13" s="55">
        <f t="shared" si="2"/>
        <v>152</v>
      </c>
      <c r="J13" s="65"/>
      <c r="K13" s="65"/>
      <c r="L13" s="65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1.25" customHeight="1" x14ac:dyDescent="0.25">
      <c r="A14" s="68" t="s">
        <v>123</v>
      </c>
      <c r="B14" s="14">
        <v>0</v>
      </c>
      <c r="C14" s="20">
        <f t="shared" ref="C14:I14" si="3">SUM(C7:C13)</f>
        <v>7655</v>
      </c>
      <c r="D14" s="20">
        <f t="shared" si="3"/>
        <v>10127</v>
      </c>
      <c r="E14" s="20">
        <f t="shared" si="3"/>
        <v>11070.090192492671</v>
      </c>
      <c r="F14" s="20">
        <f t="shared" si="3"/>
        <v>12096.695916604598</v>
      </c>
      <c r="G14" s="20">
        <f t="shared" si="3"/>
        <v>13131.692823502201</v>
      </c>
      <c r="H14" s="20">
        <f t="shared" si="3"/>
        <v>14175.219633268345</v>
      </c>
      <c r="I14" s="20">
        <f t="shared" si="3"/>
        <v>15227.41751053667</v>
      </c>
      <c r="J14" s="65"/>
      <c r="K14" s="65"/>
      <c r="L14" s="65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1.25" customHeight="1" x14ac:dyDescent="0.25">
      <c r="A15" s="3" t="s">
        <v>124</v>
      </c>
      <c r="B15" s="14">
        <v>0</v>
      </c>
      <c r="C15" s="19">
        <v>7152</v>
      </c>
      <c r="D15" s="19">
        <v>7318</v>
      </c>
      <c r="E15" s="27">
        <f>Schedules!E83</f>
        <v>7302.9767478131835</v>
      </c>
      <c r="F15" s="27">
        <f>Schedules!F83</f>
        <v>7287.9205837174313</v>
      </c>
      <c r="G15" s="27">
        <f>Schedules!G83</f>
        <v>7272.8309650241417</v>
      </c>
      <c r="H15" s="27">
        <f>Schedules!H83</f>
        <v>7257.7073394830531</v>
      </c>
      <c r="I15" s="27">
        <f>Schedules!I83</f>
        <v>7242.5491451130247</v>
      </c>
      <c r="J15" s="65"/>
      <c r="K15" s="65"/>
      <c r="L15" s="65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1.25" customHeight="1" x14ac:dyDescent="0.25">
      <c r="A16" s="45" t="s">
        <v>125</v>
      </c>
      <c r="B16" s="14">
        <v>0</v>
      </c>
      <c r="C16" s="19">
        <v>28673</v>
      </c>
      <c r="D16" s="19">
        <v>22179</v>
      </c>
      <c r="E16" s="20">
        <f t="shared" ref="E16:I16" si="4">D16</f>
        <v>22179</v>
      </c>
      <c r="F16" s="20">
        <f t="shared" si="4"/>
        <v>22179</v>
      </c>
      <c r="G16" s="20">
        <f t="shared" si="4"/>
        <v>22179</v>
      </c>
      <c r="H16" s="20">
        <f t="shared" si="4"/>
        <v>22179</v>
      </c>
      <c r="I16" s="20">
        <f t="shared" si="4"/>
        <v>22179</v>
      </c>
      <c r="J16" s="65"/>
      <c r="K16" s="65"/>
      <c r="L16" s="65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1.25" customHeight="1" x14ac:dyDescent="0.25">
      <c r="A17" s="3" t="s">
        <v>126</v>
      </c>
      <c r="B17" s="14">
        <v>0</v>
      </c>
      <c r="C17" s="19">
        <v>40099</v>
      </c>
      <c r="D17" s="19">
        <v>37529</v>
      </c>
      <c r="E17" s="20">
        <f t="shared" ref="E17:I17" si="5">D17</f>
        <v>37529</v>
      </c>
      <c r="F17" s="20">
        <f t="shared" si="5"/>
        <v>37529</v>
      </c>
      <c r="G17" s="20">
        <f t="shared" si="5"/>
        <v>37529</v>
      </c>
      <c r="H17" s="20">
        <f t="shared" si="5"/>
        <v>37529</v>
      </c>
      <c r="I17" s="20">
        <f t="shared" si="5"/>
        <v>37529</v>
      </c>
      <c r="J17" s="65"/>
      <c r="K17" s="65"/>
      <c r="L17" s="65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1.25" customHeight="1" x14ac:dyDescent="0.25">
      <c r="A18" s="3" t="s">
        <v>127</v>
      </c>
      <c r="B18" s="14">
        <v>0</v>
      </c>
      <c r="C18" s="19">
        <v>4708</v>
      </c>
      <c r="D18" s="19">
        <v>4633</v>
      </c>
      <c r="E18" s="20">
        <f t="shared" ref="E18:I18" si="6">D18</f>
        <v>4633</v>
      </c>
      <c r="F18" s="20">
        <f t="shared" si="6"/>
        <v>4633</v>
      </c>
      <c r="G18" s="20">
        <f t="shared" si="6"/>
        <v>4633</v>
      </c>
      <c r="H18" s="20">
        <f t="shared" si="6"/>
        <v>4633</v>
      </c>
      <c r="I18" s="20">
        <f t="shared" si="6"/>
        <v>4633</v>
      </c>
      <c r="J18" s="65"/>
      <c r="K18" s="65"/>
      <c r="L18" s="65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1.25" customHeight="1" x14ac:dyDescent="0.25">
      <c r="A19" s="44" t="s">
        <v>128</v>
      </c>
      <c r="B19" s="69">
        <v>0</v>
      </c>
      <c r="C19" s="59">
        <f t="shared" ref="C19:I19" si="7">SUM(C14:C18)</f>
        <v>88287</v>
      </c>
      <c r="D19" s="59">
        <f t="shared" si="7"/>
        <v>81786</v>
      </c>
      <c r="E19" s="59">
        <f t="shared" si="7"/>
        <v>82714.066940305856</v>
      </c>
      <c r="F19" s="59">
        <f t="shared" si="7"/>
        <v>83725.616500322038</v>
      </c>
      <c r="G19" s="59">
        <f t="shared" si="7"/>
        <v>84745.523788526334</v>
      </c>
      <c r="H19" s="59">
        <f t="shared" si="7"/>
        <v>85773.926972751389</v>
      </c>
      <c r="I19" s="59">
        <f t="shared" si="7"/>
        <v>86810.966655649696</v>
      </c>
      <c r="J19" s="65"/>
      <c r="K19" s="65"/>
      <c r="L19" s="65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1.25" customHeight="1" x14ac:dyDescent="0.25">
      <c r="A20" s="45"/>
      <c r="B20" s="14"/>
      <c r="C20" s="20"/>
      <c r="D20" s="20"/>
      <c r="E20" s="20"/>
      <c r="F20" s="20"/>
      <c r="G20" s="20"/>
      <c r="H20" s="20"/>
      <c r="I20" s="20"/>
      <c r="J20" s="65"/>
      <c r="K20" s="65"/>
      <c r="L20" s="65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1.25" customHeight="1" x14ac:dyDescent="0.25">
      <c r="A21" s="70" t="s">
        <v>129</v>
      </c>
      <c r="B21" s="14"/>
      <c r="C21" s="20"/>
      <c r="D21" s="20"/>
      <c r="E21" s="20"/>
      <c r="F21" s="20"/>
      <c r="G21" s="20"/>
      <c r="H21" s="20"/>
      <c r="I21" s="20"/>
      <c r="J21" s="65"/>
      <c r="K21" s="65"/>
      <c r="L21" s="65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1.25" customHeight="1" x14ac:dyDescent="0.25">
      <c r="A22" s="3" t="s">
        <v>63</v>
      </c>
      <c r="B22" s="14">
        <v>0</v>
      </c>
      <c r="C22" s="19">
        <v>654</v>
      </c>
      <c r="D22" s="19">
        <v>1908</v>
      </c>
      <c r="E22" s="27">
        <f>Schedules!E95</f>
        <v>1908</v>
      </c>
      <c r="F22" s="27">
        <f>Schedules!F95</f>
        <v>1908</v>
      </c>
      <c r="G22" s="27">
        <f>Schedules!G95</f>
        <v>1908</v>
      </c>
      <c r="H22" s="27">
        <f>Schedules!H95</f>
        <v>1908</v>
      </c>
      <c r="I22" s="27">
        <f>Schedules!I95</f>
        <v>1908</v>
      </c>
      <c r="J22" s="65"/>
      <c r="K22" s="65"/>
      <c r="L22" s="65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1.25" customHeight="1" x14ac:dyDescent="0.25">
      <c r="A23" s="3" t="s">
        <v>38</v>
      </c>
      <c r="B23" s="14">
        <v>0</v>
      </c>
      <c r="C23" s="19">
        <v>4188</v>
      </c>
      <c r="D23" s="19">
        <v>4308</v>
      </c>
      <c r="E23" s="27">
        <f>Schedules!E59</f>
        <v>4317.3047997434451</v>
      </c>
      <c r="F23" s="27">
        <f>Schedules!F59</f>
        <v>4326.7628545408652</v>
      </c>
      <c r="G23" s="27">
        <f>Schedules!G59</f>
        <v>4336.376864391993</v>
      </c>
      <c r="H23" s="27">
        <f>Schedules!H59</f>
        <v>4346.1495770781248</v>
      </c>
      <c r="I23" s="27">
        <f>Schedules!I59</f>
        <v>4356.0837890079447</v>
      </c>
      <c r="J23" s="65"/>
      <c r="K23" s="65"/>
      <c r="L23" s="65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1.25" customHeight="1" x14ac:dyDescent="0.25">
      <c r="A24" s="3" t="s">
        <v>130</v>
      </c>
      <c r="B24" s="14">
        <v>0</v>
      </c>
      <c r="C24" s="19">
        <v>697</v>
      </c>
      <c r="D24" s="19">
        <v>801</v>
      </c>
      <c r="E24" s="27">
        <f>'Income Statement'!E6*Schedules!E67</f>
        <v>738.40215409019549</v>
      </c>
      <c r="F24" s="27">
        <f>'Income Statement'!F6*Schedules!F67</f>
        <v>740.01979480815771</v>
      </c>
      <c r="G24" s="27">
        <f>'Income Statement'!G6*Schedules!G67</f>
        <v>741.66410900713186</v>
      </c>
      <c r="H24" s="27">
        <f>'Income Statement'!H6*Schedules!H67</f>
        <v>743.33556664875425</v>
      </c>
      <c r="I24" s="27">
        <f>'Income Statement'!I6*Schedules!I67</f>
        <v>745.03464601155576</v>
      </c>
      <c r="J24" s="65"/>
      <c r="K24" s="65"/>
      <c r="L24" s="65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1.25" customHeight="1" x14ac:dyDescent="0.25">
      <c r="A25" s="45" t="s">
        <v>69</v>
      </c>
      <c r="B25" s="14">
        <v>0</v>
      </c>
      <c r="C25" s="19">
        <v>263</v>
      </c>
      <c r="D25" s="19">
        <v>298</v>
      </c>
      <c r="E25" s="27">
        <f>'Income Statement'!E14*Schedules!E104</f>
        <v>294.9286080613881</v>
      </c>
      <c r="F25" s="27">
        <f>'Income Statement'!F14*Schedules!F104</f>
        <v>294.9286080613881</v>
      </c>
      <c r="G25" s="27">
        <f>'Income Statement'!G14*Schedules!G104</f>
        <v>294.9286080613881</v>
      </c>
      <c r="H25" s="27">
        <f>'Income Statement'!H14*Schedules!H104</f>
        <v>294.9286080613881</v>
      </c>
      <c r="I25" s="27">
        <f>'Income Statement'!I14*Schedules!I104</f>
        <v>294.9286080613881</v>
      </c>
      <c r="J25" s="65"/>
      <c r="K25" s="65"/>
      <c r="L25" s="65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1.25" customHeight="1" x14ac:dyDescent="0.25">
      <c r="A26" s="3" t="s">
        <v>93</v>
      </c>
      <c r="B26" s="14">
        <v>0</v>
      </c>
      <c r="C26" s="19">
        <v>1451</v>
      </c>
      <c r="D26" s="19">
        <v>1455</v>
      </c>
      <c r="E26" s="20">
        <f t="shared" ref="E26:I26" si="8">D26</f>
        <v>1455</v>
      </c>
      <c r="F26" s="20">
        <f t="shared" si="8"/>
        <v>1455</v>
      </c>
      <c r="G26" s="20">
        <f t="shared" si="8"/>
        <v>1455</v>
      </c>
      <c r="H26" s="20">
        <f t="shared" si="8"/>
        <v>1455</v>
      </c>
      <c r="I26" s="20">
        <f t="shared" si="8"/>
        <v>1455</v>
      </c>
      <c r="J26" s="65"/>
      <c r="K26" s="65"/>
      <c r="L26" s="65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1.25" customHeight="1" x14ac:dyDescent="0.25">
      <c r="A27" s="3" t="s">
        <v>131</v>
      </c>
      <c r="B27" s="67">
        <v>0</v>
      </c>
      <c r="C27" s="67">
        <v>0</v>
      </c>
      <c r="D27" s="54">
        <v>8</v>
      </c>
      <c r="E27" s="54">
        <v>0</v>
      </c>
      <c r="F27" s="55">
        <f t="shared" ref="F27:I27" si="9">E27</f>
        <v>0</v>
      </c>
      <c r="G27" s="55">
        <f t="shared" si="9"/>
        <v>0</v>
      </c>
      <c r="H27" s="55">
        <f t="shared" si="9"/>
        <v>0</v>
      </c>
      <c r="I27" s="55">
        <f t="shared" si="9"/>
        <v>0</v>
      </c>
      <c r="J27" s="65"/>
      <c r="K27" s="65"/>
      <c r="L27" s="65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1.25" customHeight="1" x14ac:dyDescent="0.25">
      <c r="A28" s="68" t="s">
        <v>132</v>
      </c>
      <c r="B28" s="14">
        <v>0</v>
      </c>
      <c r="C28" s="20">
        <f t="shared" ref="C28:I28" si="10">SUM(C22:C27)</f>
        <v>7253</v>
      </c>
      <c r="D28" s="20">
        <f t="shared" si="10"/>
        <v>8778</v>
      </c>
      <c r="E28" s="20">
        <f t="shared" si="10"/>
        <v>8713.6355618950292</v>
      </c>
      <c r="F28" s="20">
        <f t="shared" si="10"/>
        <v>8724.7112574104103</v>
      </c>
      <c r="G28" s="20">
        <f t="shared" si="10"/>
        <v>8735.9695814605129</v>
      </c>
      <c r="H28" s="20">
        <f t="shared" si="10"/>
        <v>8747.4137517882664</v>
      </c>
      <c r="I28" s="20">
        <f t="shared" si="10"/>
        <v>8759.0470430808891</v>
      </c>
      <c r="J28" s="65"/>
      <c r="K28" s="65"/>
      <c r="L28" s="65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1.25" customHeight="1" x14ac:dyDescent="0.25">
      <c r="A29" s="45" t="s">
        <v>64</v>
      </c>
      <c r="B29" s="14">
        <v>0</v>
      </c>
      <c r="C29" s="19">
        <v>19215</v>
      </c>
      <c r="D29" s="19">
        <v>19311</v>
      </c>
      <c r="E29" s="27">
        <f>Schedules!E96</f>
        <v>19311</v>
      </c>
      <c r="F29" s="27">
        <f>Schedules!F96</f>
        <v>19311</v>
      </c>
      <c r="G29" s="27">
        <f>Schedules!G96</f>
        <v>19311</v>
      </c>
      <c r="H29" s="27">
        <f>Schedules!H96</f>
        <v>19311</v>
      </c>
      <c r="I29" s="27">
        <f>Schedules!I96</f>
        <v>19311</v>
      </c>
      <c r="J29" s="65"/>
      <c r="K29" s="65"/>
      <c r="L29" s="65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1.25" customHeight="1" x14ac:dyDescent="0.25">
      <c r="A30" s="3" t="s">
        <v>133</v>
      </c>
      <c r="B30" s="14">
        <v>0</v>
      </c>
      <c r="C30" s="19">
        <v>9679</v>
      </c>
      <c r="D30" s="19">
        <v>9022</v>
      </c>
      <c r="E30" s="20">
        <f t="shared" ref="E30:I30" si="11">D30</f>
        <v>9022</v>
      </c>
      <c r="F30" s="20">
        <f t="shared" si="11"/>
        <v>9022</v>
      </c>
      <c r="G30" s="20">
        <f t="shared" si="11"/>
        <v>9022</v>
      </c>
      <c r="H30" s="20">
        <f t="shared" si="11"/>
        <v>9022</v>
      </c>
      <c r="I30" s="20">
        <f t="shared" si="11"/>
        <v>9022</v>
      </c>
      <c r="J30" s="65"/>
      <c r="K30" s="65"/>
      <c r="L30" s="65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1.25" customHeight="1" x14ac:dyDescent="0.25">
      <c r="A31" s="3" t="s">
        <v>134</v>
      </c>
      <c r="B31" s="14">
        <v>0</v>
      </c>
      <c r="C31" s="19">
        <v>135</v>
      </c>
      <c r="D31" s="19">
        <v>131</v>
      </c>
      <c r="E31" s="20">
        <f t="shared" ref="E31:I31" si="12">D31</f>
        <v>131</v>
      </c>
      <c r="F31" s="20">
        <f t="shared" si="12"/>
        <v>131</v>
      </c>
      <c r="G31" s="20">
        <f t="shared" si="12"/>
        <v>131</v>
      </c>
      <c r="H31" s="20">
        <f t="shared" si="12"/>
        <v>131</v>
      </c>
      <c r="I31" s="20">
        <f t="shared" si="12"/>
        <v>131</v>
      </c>
      <c r="J31" s="65"/>
      <c r="K31" s="65"/>
      <c r="L31" s="65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1.25" customHeight="1" x14ac:dyDescent="0.25">
      <c r="A32" s="3" t="s">
        <v>135</v>
      </c>
      <c r="B32" s="14">
        <v>0</v>
      </c>
      <c r="C32" s="19">
        <v>1374</v>
      </c>
      <c r="D32" s="19">
        <v>1321</v>
      </c>
      <c r="E32" s="20">
        <f t="shared" ref="E32:I32" si="13">D32</f>
        <v>1321</v>
      </c>
      <c r="F32" s="20">
        <f t="shared" si="13"/>
        <v>1321</v>
      </c>
      <c r="G32" s="20">
        <f t="shared" si="13"/>
        <v>1321</v>
      </c>
      <c r="H32" s="20">
        <f t="shared" si="13"/>
        <v>1321</v>
      </c>
      <c r="I32" s="20">
        <f t="shared" si="13"/>
        <v>1321</v>
      </c>
      <c r="J32" s="65"/>
      <c r="K32" s="65"/>
      <c r="L32" s="65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1.25" customHeight="1" x14ac:dyDescent="0.25">
      <c r="A33" s="3" t="s">
        <v>136</v>
      </c>
      <c r="B33" s="14">
        <v>0</v>
      </c>
      <c r="C33" s="19">
        <v>1306</v>
      </c>
      <c r="D33" s="19">
        <v>1434</v>
      </c>
      <c r="E33" s="20">
        <f t="shared" ref="E33:I33" si="14">D33</f>
        <v>1434</v>
      </c>
      <c r="F33" s="20">
        <f t="shared" si="14"/>
        <v>1434</v>
      </c>
      <c r="G33" s="20">
        <f t="shared" si="14"/>
        <v>1434</v>
      </c>
      <c r="H33" s="20">
        <f t="shared" si="14"/>
        <v>1434</v>
      </c>
      <c r="I33" s="20">
        <f t="shared" si="14"/>
        <v>1434</v>
      </c>
      <c r="J33" s="65"/>
      <c r="K33" s="65"/>
      <c r="L33" s="65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1.25" customHeight="1" x14ac:dyDescent="0.25">
      <c r="A34" s="1" t="s">
        <v>137</v>
      </c>
      <c r="B34" s="36">
        <v>0</v>
      </c>
      <c r="C34" s="38">
        <f t="shared" ref="C34:I34" si="15">SUM(C28:C33)</f>
        <v>38962</v>
      </c>
      <c r="D34" s="38">
        <f t="shared" si="15"/>
        <v>39997</v>
      </c>
      <c r="E34" s="38">
        <f t="shared" si="15"/>
        <v>39932.635561895033</v>
      </c>
      <c r="F34" s="38">
        <f t="shared" si="15"/>
        <v>39943.71125741041</v>
      </c>
      <c r="G34" s="38">
        <f t="shared" si="15"/>
        <v>39954.969581460515</v>
      </c>
      <c r="H34" s="38">
        <f t="shared" si="15"/>
        <v>39966.413751788263</v>
      </c>
      <c r="I34" s="38">
        <f t="shared" si="15"/>
        <v>39978.047043080893</v>
      </c>
      <c r="J34" s="65"/>
      <c r="K34" s="65"/>
      <c r="L34" s="65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1.25" customHeight="1" x14ac:dyDescent="0.25">
      <c r="A35" s="3" t="s">
        <v>138</v>
      </c>
      <c r="B35" s="14">
        <v>0</v>
      </c>
      <c r="C35" s="19">
        <v>6</v>
      </c>
      <c r="D35" s="19">
        <v>12</v>
      </c>
      <c r="E35" s="20">
        <f t="shared" ref="E35:I35" si="16">D35</f>
        <v>12</v>
      </c>
      <c r="F35" s="20">
        <f t="shared" si="16"/>
        <v>12</v>
      </c>
      <c r="G35" s="20">
        <f t="shared" si="16"/>
        <v>12</v>
      </c>
      <c r="H35" s="20">
        <f t="shared" si="16"/>
        <v>12</v>
      </c>
      <c r="I35" s="20">
        <f t="shared" si="16"/>
        <v>12</v>
      </c>
      <c r="J35" s="65"/>
      <c r="K35" s="65"/>
      <c r="L35" s="65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1.25" customHeight="1" x14ac:dyDescent="0.25">
      <c r="A36" s="3"/>
      <c r="B36" s="14"/>
      <c r="C36" s="19"/>
      <c r="D36" s="19"/>
      <c r="E36" s="20"/>
      <c r="F36" s="20"/>
      <c r="G36" s="20"/>
      <c r="H36" s="20"/>
      <c r="I36" s="20"/>
      <c r="J36" s="65"/>
      <c r="K36" s="65"/>
      <c r="L36" s="65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1.25" customHeight="1" x14ac:dyDescent="0.25">
      <c r="A37" s="64" t="s">
        <v>139</v>
      </c>
      <c r="B37" s="14"/>
      <c r="C37" s="20"/>
      <c r="D37" s="20"/>
      <c r="E37" s="20"/>
      <c r="F37" s="20"/>
      <c r="G37" s="20"/>
      <c r="H37" s="20"/>
      <c r="I37" s="20"/>
      <c r="J37" s="65"/>
      <c r="K37" s="65"/>
      <c r="L37" s="65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1.25" customHeight="1" x14ac:dyDescent="0.25">
      <c r="A38" s="45" t="s">
        <v>140</v>
      </c>
      <c r="B38" s="14">
        <v>0</v>
      </c>
      <c r="C38" s="19">
        <v>12</v>
      </c>
      <c r="D38" s="19">
        <v>12</v>
      </c>
      <c r="E38" s="20">
        <f t="shared" ref="E38:I38" si="17">D38</f>
        <v>12</v>
      </c>
      <c r="F38" s="20">
        <f t="shared" si="17"/>
        <v>12</v>
      </c>
      <c r="G38" s="20">
        <f t="shared" si="17"/>
        <v>12</v>
      </c>
      <c r="H38" s="20">
        <f t="shared" si="17"/>
        <v>12</v>
      </c>
      <c r="I38" s="20">
        <f t="shared" si="17"/>
        <v>12</v>
      </c>
      <c r="J38" s="65"/>
      <c r="K38" s="65"/>
      <c r="L38" s="65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1.25" customHeight="1" x14ac:dyDescent="0.25">
      <c r="A39" s="3" t="s">
        <v>141</v>
      </c>
      <c r="B39" s="14">
        <v>0</v>
      </c>
      <c r="C39" s="19">
        <v>52135</v>
      </c>
      <c r="D39" s="19">
        <v>51287</v>
      </c>
      <c r="E39" s="20">
        <f t="shared" ref="E39:I39" si="18">D39</f>
        <v>51287</v>
      </c>
      <c r="F39" s="20">
        <f t="shared" si="18"/>
        <v>51287</v>
      </c>
      <c r="G39" s="20">
        <f t="shared" si="18"/>
        <v>51287</v>
      </c>
      <c r="H39" s="20">
        <f t="shared" si="18"/>
        <v>51287</v>
      </c>
      <c r="I39" s="20">
        <f t="shared" si="18"/>
        <v>51287</v>
      </c>
      <c r="J39" s="65"/>
      <c r="K39" s="65"/>
      <c r="L39" s="65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1.25" customHeight="1" x14ac:dyDescent="0.25">
      <c r="A40" s="3" t="s">
        <v>142</v>
      </c>
      <c r="B40" s="14">
        <v>0</v>
      </c>
      <c r="C40" s="19">
        <v>2171</v>
      </c>
      <c r="D40" s="19">
        <v>-4629</v>
      </c>
      <c r="E40" s="27">
        <f>Schedules!E120</f>
        <v>-3636.5686215891728</v>
      </c>
      <c r="F40" s="27">
        <f>Schedules!F120</f>
        <v>-2636.0947570883814</v>
      </c>
      <c r="G40" s="27">
        <f>Schedules!G120</f>
        <v>-1627.4457929341688</v>
      </c>
      <c r="H40" s="27">
        <f>Schedules!H120</f>
        <v>-610.48677903686894</v>
      </c>
      <c r="I40" s="27">
        <f>Schedules!I120</f>
        <v>414.91961256880677</v>
      </c>
      <c r="J40" s="65"/>
      <c r="K40" s="65"/>
      <c r="L40" s="65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1.25" customHeight="1" x14ac:dyDescent="0.25">
      <c r="A41" s="3" t="s">
        <v>143</v>
      </c>
      <c r="B41" s="14">
        <v>0</v>
      </c>
      <c r="C41" s="19">
        <v>-2915</v>
      </c>
      <c r="D41" s="19">
        <v>-2370</v>
      </c>
      <c r="E41" s="20">
        <f t="shared" ref="E41:I41" si="19">D41</f>
        <v>-2370</v>
      </c>
      <c r="F41" s="20">
        <f t="shared" si="19"/>
        <v>-2370</v>
      </c>
      <c r="G41" s="20">
        <f t="shared" si="19"/>
        <v>-2370</v>
      </c>
      <c r="H41" s="20">
        <f t="shared" si="19"/>
        <v>-2370</v>
      </c>
      <c r="I41" s="20">
        <f t="shared" si="19"/>
        <v>-2370</v>
      </c>
      <c r="J41" s="65"/>
      <c r="K41" s="65"/>
      <c r="L41" s="65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1.25" customHeight="1" x14ac:dyDescent="0.25">
      <c r="A42" s="3" t="s">
        <v>144</v>
      </c>
      <c r="B42" s="14">
        <v>0</v>
      </c>
      <c r="C42" s="19">
        <v>-2218</v>
      </c>
      <c r="D42" s="19">
        <v>-2636</v>
      </c>
      <c r="E42" s="20">
        <f t="shared" ref="E42:I42" si="20">D42</f>
        <v>-2636</v>
      </c>
      <c r="F42" s="20">
        <f t="shared" si="20"/>
        <v>-2636</v>
      </c>
      <c r="G42" s="20">
        <f t="shared" si="20"/>
        <v>-2636</v>
      </c>
      <c r="H42" s="20">
        <f t="shared" si="20"/>
        <v>-2636</v>
      </c>
      <c r="I42" s="20">
        <f t="shared" si="20"/>
        <v>-2636</v>
      </c>
      <c r="J42" s="65"/>
      <c r="K42" s="65"/>
      <c r="L42" s="65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1.25" customHeight="1" x14ac:dyDescent="0.25">
      <c r="A43" s="68" t="s">
        <v>145</v>
      </c>
      <c r="B43" s="36">
        <v>0</v>
      </c>
      <c r="C43" s="38">
        <f t="shared" ref="C43:I43" si="21">SUM(C38:C42)</f>
        <v>49185</v>
      </c>
      <c r="D43" s="38">
        <f t="shared" si="21"/>
        <v>41664</v>
      </c>
      <c r="E43" s="38">
        <f t="shared" si="21"/>
        <v>42656.431378410824</v>
      </c>
      <c r="F43" s="38">
        <f t="shared" si="21"/>
        <v>43656.90524291162</v>
      </c>
      <c r="G43" s="38">
        <f t="shared" si="21"/>
        <v>44665.554207065834</v>
      </c>
      <c r="H43" s="38">
        <f t="shared" si="21"/>
        <v>45682.513220963134</v>
      </c>
      <c r="I43" s="38">
        <f t="shared" si="21"/>
        <v>46707.919612568803</v>
      </c>
      <c r="J43" s="65"/>
      <c r="K43" s="65"/>
      <c r="L43" s="65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1.25" customHeight="1" x14ac:dyDescent="0.25">
      <c r="A44" s="3" t="s">
        <v>146</v>
      </c>
      <c r="B44" s="67">
        <v>0</v>
      </c>
      <c r="C44" s="54">
        <v>134</v>
      </c>
      <c r="D44" s="54">
        <v>113</v>
      </c>
      <c r="E44" s="55">
        <f t="shared" ref="E44:I44" si="22">D44</f>
        <v>113</v>
      </c>
      <c r="F44" s="55">
        <f t="shared" si="22"/>
        <v>113</v>
      </c>
      <c r="G44" s="55">
        <f t="shared" si="22"/>
        <v>113</v>
      </c>
      <c r="H44" s="55">
        <f t="shared" si="22"/>
        <v>113</v>
      </c>
      <c r="I44" s="55">
        <f t="shared" si="22"/>
        <v>113</v>
      </c>
      <c r="J44" s="65"/>
      <c r="K44" s="65"/>
      <c r="L44" s="65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1.25" customHeight="1" x14ac:dyDescent="0.25">
      <c r="A45" s="44" t="s">
        <v>147</v>
      </c>
      <c r="B45" s="14">
        <v>0</v>
      </c>
      <c r="C45" s="20">
        <f t="shared" ref="C45:I45" si="23">SUM(C43:C44)</f>
        <v>49319</v>
      </c>
      <c r="D45" s="20">
        <f t="shared" si="23"/>
        <v>41777</v>
      </c>
      <c r="E45" s="20">
        <f t="shared" si="23"/>
        <v>42769.431378410824</v>
      </c>
      <c r="F45" s="20">
        <f t="shared" si="23"/>
        <v>43769.90524291162</v>
      </c>
      <c r="G45" s="20">
        <f t="shared" si="23"/>
        <v>44778.554207065834</v>
      </c>
      <c r="H45" s="20">
        <f t="shared" si="23"/>
        <v>45795.513220963134</v>
      </c>
      <c r="I45" s="20">
        <f t="shared" si="23"/>
        <v>46820.919612568803</v>
      </c>
      <c r="J45" s="65"/>
      <c r="K45" s="65"/>
      <c r="L45" s="65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1.25" customHeight="1" x14ac:dyDescent="0.25">
      <c r="A46" s="44"/>
      <c r="B46" s="14"/>
      <c r="C46" s="20"/>
      <c r="D46" s="20"/>
      <c r="E46" s="20"/>
      <c r="F46" s="20"/>
      <c r="G46" s="20"/>
      <c r="H46" s="20"/>
      <c r="I46" s="20"/>
      <c r="J46" s="65"/>
      <c r="K46" s="65"/>
      <c r="L46" s="65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1.25" customHeight="1" x14ac:dyDescent="0.25">
      <c r="A47" s="1" t="s">
        <v>148</v>
      </c>
      <c r="B47" s="69">
        <v>0</v>
      </c>
      <c r="C47" s="59">
        <f t="shared" ref="C47:I47" si="24">C34+C45+C35</f>
        <v>88287</v>
      </c>
      <c r="D47" s="59">
        <f t="shared" si="24"/>
        <v>81786</v>
      </c>
      <c r="E47" s="59">
        <f t="shared" si="24"/>
        <v>82714.066940305856</v>
      </c>
      <c r="F47" s="59">
        <f t="shared" si="24"/>
        <v>83725.616500322038</v>
      </c>
      <c r="G47" s="59">
        <f t="shared" si="24"/>
        <v>84745.523788526349</v>
      </c>
      <c r="H47" s="59">
        <f t="shared" si="24"/>
        <v>85773.926972751389</v>
      </c>
      <c r="I47" s="59">
        <f t="shared" si="24"/>
        <v>86810.966655649696</v>
      </c>
      <c r="J47" s="65"/>
      <c r="K47" s="65"/>
      <c r="L47" s="65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1.25" customHeight="1" x14ac:dyDescent="0.25">
      <c r="A48" s="45"/>
      <c r="B48" s="14"/>
      <c r="C48" s="20"/>
      <c r="D48" s="20"/>
      <c r="E48" s="20"/>
      <c r="F48" s="20"/>
      <c r="G48" s="20"/>
      <c r="H48" s="20"/>
      <c r="I48" s="20"/>
      <c r="J48" s="65"/>
      <c r="K48" s="71"/>
      <c r="L48" s="65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1.25" customHeight="1" x14ac:dyDescent="0.25">
      <c r="A49" s="72" t="s">
        <v>149</v>
      </c>
      <c r="B49" s="73">
        <v>0</v>
      </c>
      <c r="C49" s="74">
        <f>ROUND(C19-C47, 2)</f>
        <v>0</v>
      </c>
      <c r="D49" s="74">
        <f t="shared" ref="D49:I49" si="25">ROUND(D19-D47, 2)</f>
        <v>0</v>
      </c>
      <c r="E49" s="74">
        <f t="shared" si="25"/>
        <v>0</v>
      </c>
      <c r="F49" s="74">
        <f t="shared" si="25"/>
        <v>0</v>
      </c>
      <c r="G49" s="74">
        <f t="shared" si="25"/>
        <v>0</v>
      </c>
      <c r="H49" s="74">
        <f t="shared" si="25"/>
        <v>0</v>
      </c>
      <c r="I49" s="74">
        <f t="shared" si="25"/>
        <v>0</v>
      </c>
      <c r="J49" s="65"/>
      <c r="K49" s="65"/>
      <c r="L49" s="65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1.25" customHeight="1" x14ac:dyDescent="0.25">
      <c r="A50" s="45"/>
      <c r="C50" s="22"/>
      <c r="D50" s="61"/>
      <c r="E50" s="22"/>
      <c r="F50" s="22"/>
      <c r="G50" s="22"/>
      <c r="H50" s="22"/>
      <c r="I50" s="22"/>
      <c r="J50" s="65"/>
      <c r="K50" s="65"/>
      <c r="L50" s="65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1.25" customHeight="1" x14ac:dyDescent="0.25">
      <c r="A51" s="45"/>
      <c r="B51" s="61"/>
      <c r="C51" s="65"/>
      <c r="D51" s="65"/>
      <c r="E51" s="65"/>
      <c r="F51" s="65"/>
      <c r="G51" s="65"/>
      <c r="H51" s="65"/>
      <c r="I51" s="65"/>
      <c r="J51" s="65"/>
      <c r="K51" s="65"/>
      <c r="L51" s="65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1.25" customHeight="1" x14ac:dyDescent="0.25">
      <c r="A52" s="45"/>
      <c r="B52" s="61"/>
      <c r="C52" s="65"/>
      <c r="D52" s="65"/>
      <c r="E52" s="65"/>
      <c r="F52" s="65"/>
      <c r="G52" s="65"/>
      <c r="H52" s="65"/>
      <c r="I52" s="65"/>
      <c r="J52" s="65"/>
      <c r="K52" s="65"/>
      <c r="L52" s="65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1.25" customHeight="1" x14ac:dyDescent="0.25">
      <c r="A53" s="45"/>
      <c r="B53" s="61"/>
      <c r="C53" s="65"/>
      <c r="D53" s="65"/>
      <c r="E53" s="65"/>
      <c r="F53" s="65"/>
      <c r="G53" s="65"/>
      <c r="H53" s="65"/>
      <c r="I53" s="65"/>
      <c r="J53" s="65"/>
      <c r="K53" s="65"/>
      <c r="L53" s="65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1.25" customHeight="1" x14ac:dyDescent="0.25">
      <c r="A54" s="45"/>
      <c r="B54" s="61"/>
      <c r="C54" s="65"/>
      <c r="D54" s="65"/>
      <c r="E54" s="65"/>
      <c r="F54" s="65"/>
      <c r="G54" s="65"/>
      <c r="H54" s="65"/>
      <c r="I54" s="65"/>
      <c r="J54" s="65"/>
      <c r="K54" s="65"/>
      <c r="L54" s="65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1.25" customHeight="1" x14ac:dyDescent="0.25">
      <c r="A55" s="45"/>
      <c r="B55" s="61"/>
      <c r="C55" s="65"/>
      <c r="D55" s="65"/>
      <c r="E55" s="65"/>
      <c r="F55" s="65"/>
      <c r="G55" s="65"/>
      <c r="H55" s="65"/>
      <c r="I55" s="65"/>
      <c r="J55" s="65"/>
      <c r="K55" s="65"/>
      <c r="L55" s="65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1.25" customHeight="1" x14ac:dyDescent="0.25">
      <c r="A56" s="45"/>
      <c r="B56" s="61"/>
      <c r="C56" s="65"/>
      <c r="D56" s="65"/>
      <c r="E56" s="65"/>
      <c r="F56" s="65"/>
      <c r="G56" s="65"/>
      <c r="H56" s="65"/>
      <c r="I56" s="65"/>
      <c r="J56" s="65"/>
      <c r="K56" s="65"/>
      <c r="L56" s="65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1.25" customHeight="1" x14ac:dyDescent="0.25">
      <c r="A57" s="45"/>
      <c r="B57" s="61"/>
      <c r="C57" s="65"/>
      <c r="D57" s="65"/>
      <c r="E57" s="65"/>
      <c r="F57" s="65"/>
      <c r="G57" s="65"/>
      <c r="H57" s="65"/>
      <c r="I57" s="65"/>
      <c r="J57" s="65"/>
      <c r="K57" s="65"/>
      <c r="L57" s="65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1.25" customHeight="1" x14ac:dyDescent="0.25">
      <c r="A58" s="45"/>
      <c r="B58" s="61"/>
      <c r="C58" s="65"/>
      <c r="D58" s="65"/>
      <c r="E58" s="65"/>
      <c r="F58" s="65"/>
      <c r="G58" s="65"/>
      <c r="H58" s="65"/>
      <c r="I58" s="65"/>
      <c r="J58" s="65"/>
      <c r="K58" s="65"/>
      <c r="L58" s="65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1.25" customHeight="1" x14ac:dyDescent="0.25">
      <c r="A59" s="45"/>
      <c r="B59" s="61"/>
      <c r="C59" s="65"/>
      <c r="D59" s="65"/>
      <c r="E59" s="65"/>
      <c r="F59" s="65"/>
      <c r="G59" s="65"/>
      <c r="H59" s="65"/>
      <c r="I59" s="65"/>
      <c r="J59" s="65"/>
      <c r="K59" s="65"/>
      <c r="L59" s="65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1.25" customHeight="1" x14ac:dyDescent="0.25">
      <c r="A60" s="45"/>
      <c r="B60" s="61"/>
      <c r="C60" s="65"/>
      <c r="D60" s="65"/>
      <c r="E60" s="65"/>
      <c r="F60" s="65"/>
      <c r="G60" s="65"/>
      <c r="H60" s="65"/>
      <c r="I60" s="65"/>
      <c r="J60" s="65"/>
      <c r="K60" s="65"/>
      <c r="L60" s="65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1.25" customHeight="1" x14ac:dyDescent="0.25">
      <c r="A61" s="45"/>
      <c r="B61" s="61"/>
      <c r="C61" s="65"/>
      <c r="D61" s="65"/>
      <c r="E61" s="65"/>
      <c r="F61" s="65"/>
      <c r="G61" s="65"/>
      <c r="H61" s="65"/>
      <c r="I61" s="65"/>
      <c r="J61" s="65"/>
      <c r="K61" s="65"/>
      <c r="L61" s="65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1.25" customHeight="1" x14ac:dyDescent="0.25">
      <c r="A62" s="45"/>
      <c r="B62" s="61"/>
      <c r="C62" s="65"/>
      <c r="D62" s="65"/>
      <c r="E62" s="65"/>
      <c r="F62" s="65"/>
      <c r="G62" s="65"/>
      <c r="H62" s="65"/>
      <c r="I62" s="65"/>
      <c r="J62" s="65"/>
      <c r="K62" s="65"/>
      <c r="L62" s="65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1.25" customHeight="1" x14ac:dyDescent="0.25">
      <c r="A63" s="45"/>
      <c r="B63" s="61"/>
      <c r="C63" s="65"/>
      <c r="D63" s="65"/>
      <c r="E63" s="65"/>
      <c r="F63" s="65"/>
      <c r="G63" s="65"/>
      <c r="H63" s="65"/>
      <c r="I63" s="65"/>
      <c r="J63" s="65"/>
      <c r="K63" s="65"/>
      <c r="L63" s="65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1.25" customHeight="1" x14ac:dyDescent="0.25">
      <c r="A64" s="45"/>
      <c r="B64" s="61"/>
      <c r="C64" s="65"/>
      <c r="D64" s="65"/>
      <c r="E64" s="65"/>
      <c r="F64" s="65"/>
      <c r="G64" s="65"/>
      <c r="H64" s="65"/>
      <c r="I64" s="65"/>
      <c r="J64" s="65"/>
      <c r="K64" s="65"/>
      <c r="L64" s="65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1.25" customHeight="1" x14ac:dyDescent="0.25">
      <c r="A65" s="45"/>
      <c r="B65" s="61"/>
      <c r="C65" s="65"/>
      <c r="D65" s="65"/>
      <c r="E65" s="65"/>
      <c r="F65" s="65"/>
      <c r="G65" s="65"/>
      <c r="H65" s="65"/>
      <c r="I65" s="65"/>
      <c r="J65" s="65"/>
      <c r="K65" s="65"/>
      <c r="L65" s="65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1.25" customHeight="1" x14ac:dyDescent="0.25">
      <c r="A66" s="45"/>
      <c r="B66" s="61"/>
      <c r="C66" s="65"/>
      <c r="D66" s="65"/>
      <c r="E66" s="65"/>
      <c r="F66" s="65"/>
      <c r="G66" s="65"/>
      <c r="H66" s="65"/>
      <c r="I66" s="65"/>
      <c r="J66" s="65"/>
      <c r="K66" s="65"/>
      <c r="L66" s="65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1.25" customHeight="1" x14ac:dyDescent="0.25">
      <c r="A67" s="45"/>
      <c r="B67" s="61"/>
      <c r="C67" s="65"/>
      <c r="D67" s="65"/>
      <c r="E67" s="65"/>
      <c r="F67" s="65"/>
      <c r="G67" s="65"/>
      <c r="H67" s="65"/>
      <c r="I67" s="65"/>
      <c r="J67" s="65"/>
      <c r="K67" s="65"/>
      <c r="L67" s="65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1.25" customHeight="1" x14ac:dyDescent="0.25">
      <c r="A68" s="45"/>
      <c r="B68" s="61"/>
      <c r="C68" s="65"/>
      <c r="D68" s="65"/>
      <c r="E68" s="65"/>
      <c r="F68" s="65"/>
      <c r="G68" s="65"/>
      <c r="H68" s="65"/>
      <c r="I68" s="65"/>
      <c r="J68" s="65"/>
      <c r="K68" s="65"/>
      <c r="L68" s="65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1.25" customHeight="1" x14ac:dyDescent="0.25">
      <c r="A69" s="45"/>
      <c r="B69" s="61"/>
      <c r="C69" s="65"/>
      <c r="D69" s="65"/>
      <c r="E69" s="65"/>
      <c r="F69" s="65"/>
      <c r="G69" s="65"/>
      <c r="H69" s="65"/>
      <c r="I69" s="65"/>
      <c r="J69" s="65"/>
      <c r="K69" s="65"/>
      <c r="L69" s="65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1.25" customHeight="1" x14ac:dyDescent="0.25">
      <c r="A70" s="45"/>
      <c r="B70" s="61"/>
      <c r="C70" s="65"/>
      <c r="D70" s="65"/>
      <c r="E70" s="65"/>
      <c r="F70" s="65"/>
      <c r="G70" s="65"/>
      <c r="H70" s="65"/>
      <c r="I70" s="65"/>
      <c r="J70" s="65"/>
      <c r="K70" s="65"/>
      <c r="L70" s="65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1.25" customHeight="1" x14ac:dyDescent="0.25">
      <c r="A71" s="45"/>
      <c r="B71" s="61"/>
      <c r="C71" s="65"/>
      <c r="D71" s="65"/>
      <c r="E71" s="65"/>
      <c r="F71" s="65"/>
      <c r="G71" s="65"/>
      <c r="H71" s="65"/>
      <c r="I71" s="65"/>
      <c r="J71" s="65"/>
      <c r="K71" s="65"/>
      <c r="L71" s="65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1.25" customHeight="1" x14ac:dyDescent="0.25">
      <c r="A72" s="45"/>
      <c r="B72" s="61"/>
      <c r="C72" s="65"/>
      <c r="D72" s="65"/>
      <c r="E72" s="65"/>
      <c r="F72" s="65"/>
      <c r="G72" s="65"/>
      <c r="H72" s="65"/>
      <c r="I72" s="65"/>
      <c r="J72" s="65"/>
      <c r="K72" s="65"/>
      <c r="L72" s="65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1.25" customHeight="1" x14ac:dyDescent="0.25">
      <c r="A73" s="45"/>
      <c r="B73" s="61"/>
      <c r="C73" s="65"/>
      <c r="D73" s="65"/>
      <c r="E73" s="65"/>
      <c r="F73" s="65"/>
      <c r="G73" s="65"/>
      <c r="H73" s="65"/>
      <c r="I73" s="65"/>
      <c r="J73" s="65"/>
      <c r="K73" s="65"/>
      <c r="L73" s="65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1.25" customHeight="1" x14ac:dyDescent="0.25">
      <c r="A74" s="45"/>
      <c r="B74" s="61"/>
      <c r="C74" s="65"/>
      <c r="D74" s="65"/>
      <c r="E74" s="65"/>
      <c r="F74" s="65"/>
      <c r="G74" s="65"/>
      <c r="H74" s="65"/>
      <c r="I74" s="65"/>
      <c r="J74" s="65"/>
      <c r="K74" s="65"/>
      <c r="L74" s="65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1.25" customHeight="1" x14ac:dyDescent="0.25">
      <c r="A75" s="45"/>
      <c r="B75" s="61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1.25" customHeight="1" x14ac:dyDescent="0.25">
      <c r="A76" s="45"/>
      <c r="B76" s="61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1.25" customHeight="1" x14ac:dyDescent="0.25">
      <c r="A77" s="45"/>
      <c r="B77" s="61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1.25" customHeight="1" x14ac:dyDescent="0.25">
      <c r="A78" s="45"/>
      <c r="B78" s="61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1.25" customHeight="1" x14ac:dyDescent="0.25">
      <c r="A79" s="45"/>
      <c r="B79" s="61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1.25" customHeight="1" x14ac:dyDescent="0.25">
      <c r="A80" s="45"/>
      <c r="B80" s="61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1.25" customHeight="1" x14ac:dyDescent="0.25">
      <c r="A81" s="45"/>
      <c r="B81" s="61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1.25" customHeight="1" x14ac:dyDescent="0.25">
      <c r="A82" s="45"/>
      <c r="B82" s="61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1.25" customHeight="1" x14ac:dyDescent="0.25">
      <c r="A83" s="45"/>
      <c r="B83" s="61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1.25" customHeight="1" x14ac:dyDescent="0.25">
      <c r="A84" s="45"/>
      <c r="B84" s="61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1.25" customHeight="1" x14ac:dyDescent="0.25">
      <c r="A85" s="45"/>
      <c r="B85" s="61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1.25" customHeight="1" x14ac:dyDescent="0.25">
      <c r="A86" s="45"/>
      <c r="B86" s="61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1.25" customHeight="1" x14ac:dyDescent="0.25">
      <c r="A87" s="45"/>
      <c r="B87" s="61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1.25" customHeight="1" x14ac:dyDescent="0.25">
      <c r="A88" s="45"/>
      <c r="B88" s="61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1.25" customHeight="1" x14ac:dyDescent="0.25">
      <c r="A89" s="45"/>
      <c r="B89" s="61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1.25" customHeight="1" x14ac:dyDescent="0.25">
      <c r="A90" s="45"/>
      <c r="B90" s="61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1.25" customHeight="1" x14ac:dyDescent="0.25">
      <c r="A91" s="45"/>
      <c r="B91" s="61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1.25" customHeight="1" x14ac:dyDescent="0.25">
      <c r="A92" s="45"/>
      <c r="B92" s="61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1.25" customHeight="1" x14ac:dyDescent="0.25">
      <c r="A93" s="45"/>
      <c r="B93" s="61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1.25" customHeight="1" x14ac:dyDescent="0.25">
      <c r="A94" s="45"/>
      <c r="B94" s="61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1.25" customHeight="1" x14ac:dyDescent="0.25">
      <c r="A95" s="45"/>
      <c r="B95" s="61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1.25" customHeight="1" x14ac:dyDescent="0.25">
      <c r="A96" s="45"/>
      <c r="B96" s="61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1.25" customHeight="1" x14ac:dyDescent="0.25">
      <c r="A97" s="45"/>
      <c r="B97" s="61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1.25" customHeight="1" x14ac:dyDescent="0.25">
      <c r="A98" s="45"/>
      <c r="B98" s="61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1.25" customHeight="1" x14ac:dyDescent="0.25">
      <c r="A99" s="45"/>
      <c r="B99" s="61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1.25" customHeight="1" x14ac:dyDescent="0.25">
      <c r="A100" s="45"/>
      <c r="B100" s="61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1.25" customHeight="1" x14ac:dyDescent="0.25">
      <c r="A101" s="45"/>
      <c r="B101" s="61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1.25" customHeight="1" x14ac:dyDescent="0.25">
      <c r="A102" s="45"/>
      <c r="B102" s="61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1.25" customHeight="1" x14ac:dyDescent="0.25">
      <c r="A103" s="45"/>
      <c r="B103" s="61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1.25" customHeight="1" x14ac:dyDescent="0.25">
      <c r="A104" s="45"/>
      <c r="B104" s="61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1.25" customHeight="1" x14ac:dyDescent="0.25">
      <c r="A105" s="45"/>
      <c r="B105" s="61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1.25" customHeight="1" x14ac:dyDescent="0.25">
      <c r="A106" s="45"/>
      <c r="B106" s="61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1.25" customHeight="1" x14ac:dyDescent="0.25">
      <c r="A107" s="45"/>
      <c r="B107" s="61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1.25" customHeight="1" x14ac:dyDescent="0.25">
      <c r="A108" s="45"/>
      <c r="B108" s="61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1.25" customHeight="1" x14ac:dyDescent="0.25">
      <c r="A109" s="45"/>
      <c r="B109" s="61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1.25" customHeight="1" x14ac:dyDescent="0.25">
      <c r="A110" s="45"/>
      <c r="B110" s="61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1.25" customHeight="1" x14ac:dyDescent="0.25">
      <c r="A111" s="45"/>
      <c r="B111" s="61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1.25" customHeight="1" x14ac:dyDescent="0.25">
      <c r="A112" s="45"/>
      <c r="B112" s="61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1.25" customHeight="1" x14ac:dyDescent="0.25">
      <c r="A113" s="45"/>
      <c r="B113" s="61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1.25" customHeight="1" x14ac:dyDescent="0.25">
      <c r="A114" s="45"/>
      <c r="B114" s="61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1.25" customHeight="1" x14ac:dyDescent="0.25">
      <c r="A115" s="45"/>
      <c r="B115" s="61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1.25" customHeight="1" x14ac:dyDescent="0.25">
      <c r="A116" s="45"/>
      <c r="B116" s="61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1.25" customHeight="1" x14ac:dyDescent="0.25">
      <c r="A117" s="45"/>
      <c r="B117" s="61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1.25" customHeight="1" x14ac:dyDescent="0.25">
      <c r="A118" s="45"/>
      <c r="B118" s="61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1.25" customHeight="1" x14ac:dyDescent="0.25">
      <c r="A119" s="45"/>
      <c r="B119" s="61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1.25" customHeight="1" x14ac:dyDescent="0.25">
      <c r="A120" s="45"/>
      <c r="B120" s="61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1.25" customHeight="1" x14ac:dyDescent="0.25">
      <c r="A121" s="45"/>
      <c r="B121" s="61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1.25" customHeight="1" x14ac:dyDescent="0.25">
      <c r="A122" s="45"/>
      <c r="B122" s="61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1.25" customHeight="1" x14ac:dyDescent="0.25">
      <c r="A123" s="45"/>
      <c r="B123" s="61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1.25" customHeight="1" x14ac:dyDescent="0.25">
      <c r="A124" s="45"/>
      <c r="B124" s="61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1.25" customHeight="1" x14ac:dyDescent="0.25">
      <c r="A125" s="45"/>
      <c r="B125" s="61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1.25" customHeight="1" x14ac:dyDescent="0.25">
      <c r="A126" s="45"/>
      <c r="B126" s="61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1.25" customHeight="1" x14ac:dyDescent="0.25">
      <c r="A127" s="45"/>
      <c r="B127" s="61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1.25" customHeight="1" x14ac:dyDescent="0.25">
      <c r="A128" s="45"/>
      <c r="B128" s="61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1.25" customHeight="1" x14ac:dyDescent="0.25">
      <c r="A129" s="45"/>
      <c r="B129" s="61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1.25" customHeight="1" x14ac:dyDescent="0.25">
      <c r="A130" s="45"/>
      <c r="B130" s="61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1.25" customHeight="1" x14ac:dyDescent="0.25">
      <c r="A131" s="45"/>
      <c r="B131" s="61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1.25" customHeight="1" x14ac:dyDescent="0.25">
      <c r="A132" s="45"/>
      <c r="B132" s="61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1.25" customHeight="1" x14ac:dyDescent="0.25">
      <c r="A133" s="45"/>
      <c r="B133" s="61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1.25" customHeight="1" x14ac:dyDescent="0.25">
      <c r="A134" s="45"/>
      <c r="B134" s="61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1.25" customHeight="1" x14ac:dyDescent="0.25">
      <c r="A135" s="45"/>
      <c r="B135" s="61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1.25" customHeight="1" x14ac:dyDescent="0.25">
      <c r="A136" s="45"/>
      <c r="B136" s="61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1.25" customHeight="1" x14ac:dyDescent="0.25">
      <c r="A137" s="45"/>
      <c r="B137" s="61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1.25" customHeight="1" x14ac:dyDescent="0.25">
      <c r="A138" s="45"/>
      <c r="B138" s="61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1.25" customHeight="1" x14ac:dyDescent="0.25">
      <c r="A139" s="45"/>
      <c r="B139" s="61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1.25" customHeight="1" x14ac:dyDescent="0.25">
      <c r="A140" s="45"/>
      <c r="B140" s="61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1.25" customHeight="1" x14ac:dyDescent="0.25">
      <c r="A141" s="45"/>
      <c r="B141" s="61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1.25" customHeight="1" x14ac:dyDescent="0.25">
      <c r="A142" s="45"/>
      <c r="B142" s="61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1.25" customHeight="1" x14ac:dyDescent="0.25">
      <c r="A143" s="45"/>
      <c r="B143" s="61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1.25" customHeight="1" x14ac:dyDescent="0.25">
      <c r="A144" s="45"/>
      <c r="B144" s="61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1.25" customHeight="1" x14ac:dyDescent="0.25">
      <c r="A145" s="45"/>
      <c r="B145" s="61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1.25" customHeight="1" x14ac:dyDescent="0.25">
      <c r="A146" s="45"/>
      <c r="B146" s="61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1.25" customHeight="1" x14ac:dyDescent="0.25">
      <c r="A147" s="45"/>
      <c r="B147" s="61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1.25" customHeight="1" x14ac:dyDescent="0.25">
      <c r="A148" s="45"/>
      <c r="B148" s="61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1.25" customHeight="1" x14ac:dyDescent="0.25">
      <c r="A149" s="45"/>
      <c r="B149" s="61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1.25" customHeight="1" x14ac:dyDescent="0.25">
      <c r="A150" s="45"/>
      <c r="B150" s="61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1.25" customHeight="1" x14ac:dyDescent="0.25">
      <c r="A151" s="45"/>
      <c r="B151" s="61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1.25" customHeight="1" x14ac:dyDescent="0.25">
      <c r="A152" s="45"/>
      <c r="B152" s="61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1.25" customHeight="1" x14ac:dyDescent="0.25">
      <c r="A153" s="45"/>
      <c r="B153" s="61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1.25" customHeight="1" x14ac:dyDescent="0.25">
      <c r="A154" s="45"/>
      <c r="B154" s="61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1.25" customHeight="1" x14ac:dyDescent="0.25">
      <c r="A155" s="45"/>
      <c r="B155" s="61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1.25" customHeight="1" x14ac:dyDescent="0.25">
      <c r="A156" s="45"/>
      <c r="B156" s="61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1.25" customHeight="1" x14ac:dyDescent="0.25">
      <c r="A157" s="45"/>
      <c r="B157" s="61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1.25" customHeight="1" x14ac:dyDescent="0.25">
      <c r="A158" s="45"/>
      <c r="B158" s="61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1.25" customHeight="1" x14ac:dyDescent="0.25">
      <c r="A159" s="45"/>
      <c r="B159" s="61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1.25" customHeight="1" x14ac:dyDescent="0.25">
      <c r="A160" s="45"/>
      <c r="B160" s="61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1.25" customHeight="1" x14ac:dyDescent="0.25">
      <c r="A161" s="45"/>
      <c r="B161" s="61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1.25" customHeight="1" x14ac:dyDescent="0.25">
      <c r="A162" s="45"/>
      <c r="B162" s="61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1.25" customHeight="1" x14ac:dyDescent="0.25">
      <c r="A163" s="45"/>
      <c r="B163" s="61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1.25" customHeight="1" x14ac:dyDescent="0.25">
      <c r="A164" s="45"/>
      <c r="B164" s="61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1.25" customHeight="1" x14ac:dyDescent="0.25">
      <c r="A165" s="45"/>
      <c r="B165" s="61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1.25" customHeight="1" x14ac:dyDescent="0.25">
      <c r="A166" s="45"/>
      <c r="B166" s="61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1.25" customHeight="1" x14ac:dyDescent="0.25">
      <c r="A167" s="45"/>
      <c r="B167" s="61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1.25" customHeight="1" x14ac:dyDescent="0.25">
      <c r="A168" s="45"/>
      <c r="B168" s="61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1.25" customHeight="1" x14ac:dyDescent="0.25">
      <c r="A169" s="45"/>
      <c r="B169" s="61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1.25" customHeight="1" x14ac:dyDescent="0.25">
      <c r="A170" s="45"/>
      <c r="B170" s="61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1.25" customHeight="1" x14ac:dyDescent="0.25">
      <c r="A171" s="45"/>
      <c r="B171" s="61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1.25" customHeight="1" x14ac:dyDescent="0.25">
      <c r="A172" s="45"/>
      <c r="B172" s="61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1.25" customHeight="1" x14ac:dyDescent="0.25">
      <c r="A173" s="45"/>
      <c r="B173" s="61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1.25" customHeight="1" x14ac:dyDescent="0.25">
      <c r="A174" s="45"/>
      <c r="B174" s="61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1.25" customHeight="1" x14ac:dyDescent="0.25">
      <c r="A175" s="45"/>
      <c r="B175" s="61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1.25" customHeight="1" x14ac:dyDescent="0.25">
      <c r="A176" s="45"/>
      <c r="B176" s="61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1.25" customHeight="1" x14ac:dyDescent="0.25">
      <c r="A177" s="45"/>
      <c r="B177" s="61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1.25" customHeight="1" x14ac:dyDescent="0.25">
      <c r="A178" s="45"/>
      <c r="B178" s="61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1.25" customHeight="1" x14ac:dyDescent="0.25">
      <c r="A179" s="45"/>
      <c r="B179" s="61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1.25" customHeight="1" x14ac:dyDescent="0.25">
      <c r="A180" s="45"/>
      <c r="B180" s="61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1.25" customHeight="1" x14ac:dyDescent="0.25">
      <c r="A181" s="45"/>
      <c r="B181" s="61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1.25" customHeight="1" x14ac:dyDescent="0.25">
      <c r="A182" s="45"/>
      <c r="B182" s="61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1.25" customHeight="1" x14ac:dyDescent="0.25">
      <c r="A183" s="45"/>
      <c r="B183" s="61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1.25" customHeight="1" x14ac:dyDescent="0.25">
      <c r="A184" s="45"/>
      <c r="B184" s="61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1.25" customHeight="1" x14ac:dyDescent="0.25">
      <c r="A185" s="45"/>
      <c r="B185" s="61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1.25" customHeight="1" x14ac:dyDescent="0.25">
      <c r="A186" s="45"/>
      <c r="B186" s="61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1.25" customHeight="1" x14ac:dyDescent="0.25">
      <c r="A187" s="45"/>
      <c r="B187" s="61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1.25" customHeight="1" x14ac:dyDescent="0.25">
      <c r="A188" s="45"/>
      <c r="B188" s="61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1.25" customHeight="1" x14ac:dyDescent="0.25">
      <c r="A189" s="45"/>
      <c r="B189" s="61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1.25" customHeight="1" x14ac:dyDescent="0.25">
      <c r="A190" s="45"/>
      <c r="B190" s="61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1.25" customHeight="1" x14ac:dyDescent="0.25">
      <c r="A191" s="45"/>
      <c r="B191" s="61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1.25" customHeight="1" x14ac:dyDescent="0.25">
      <c r="A192" s="45"/>
      <c r="B192" s="61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1.25" customHeight="1" x14ac:dyDescent="0.25">
      <c r="A193" s="45"/>
      <c r="B193" s="61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1.25" customHeight="1" x14ac:dyDescent="0.25">
      <c r="A194" s="45"/>
      <c r="B194" s="61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1.25" customHeight="1" x14ac:dyDescent="0.25">
      <c r="A195" s="45"/>
      <c r="B195" s="61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1.25" customHeight="1" x14ac:dyDescent="0.25">
      <c r="A196" s="45"/>
      <c r="B196" s="61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1.25" customHeight="1" x14ac:dyDescent="0.25">
      <c r="A197" s="45"/>
      <c r="B197" s="61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1.25" customHeight="1" x14ac:dyDescent="0.25">
      <c r="A198" s="45"/>
      <c r="B198" s="61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1.25" customHeight="1" x14ac:dyDescent="0.25">
      <c r="A199" s="45"/>
      <c r="B199" s="61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1.25" customHeight="1" x14ac:dyDescent="0.25">
      <c r="A200" s="45"/>
      <c r="B200" s="61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1.25" customHeight="1" x14ac:dyDescent="0.25">
      <c r="A201" s="45"/>
      <c r="B201" s="61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1.25" customHeight="1" x14ac:dyDescent="0.25">
      <c r="A202" s="45"/>
      <c r="B202" s="61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1.25" customHeight="1" x14ac:dyDescent="0.25">
      <c r="A203" s="45"/>
      <c r="B203" s="61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1.25" customHeight="1" x14ac:dyDescent="0.25">
      <c r="A204" s="45"/>
      <c r="B204" s="61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1.25" customHeight="1" x14ac:dyDescent="0.25">
      <c r="A205" s="45"/>
      <c r="B205" s="61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1.25" customHeight="1" x14ac:dyDescent="0.25">
      <c r="A206" s="45"/>
      <c r="B206" s="61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1.25" customHeight="1" x14ac:dyDescent="0.25">
      <c r="A207" s="45"/>
      <c r="B207" s="61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1.25" customHeight="1" x14ac:dyDescent="0.25">
      <c r="A208" s="45"/>
      <c r="B208" s="61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1.25" customHeight="1" x14ac:dyDescent="0.25">
      <c r="A209" s="45"/>
      <c r="B209" s="61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1.25" customHeight="1" x14ac:dyDescent="0.25">
      <c r="A210" s="45"/>
      <c r="B210" s="61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1.25" customHeight="1" x14ac:dyDescent="0.25">
      <c r="A211" s="45"/>
      <c r="B211" s="61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1.25" customHeight="1" x14ac:dyDescent="0.25">
      <c r="A212" s="45"/>
      <c r="B212" s="61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1.25" customHeight="1" x14ac:dyDescent="0.25">
      <c r="A213" s="45"/>
      <c r="B213" s="61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1.25" customHeight="1" x14ac:dyDescent="0.25">
      <c r="A214" s="45"/>
      <c r="B214" s="61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1.25" customHeight="1" x14ac:dyDescent="0.25">
      <c r="A215" s="45"/>
      <c r="B215" s="61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1.25" customHeight="1" x14ac:dyDescent="0.25">
      <c r="A216" s="45"/>
      <c r="B216" s="61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1.25" customHeight="1" x14ac:dyDescent="0.25">
      <c r="A217" s="45"/>
      <c r="B217" s="61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1.25" customHeight="1" x14ac:dyDescent="0.25">
      <c r="A218" s="45"/>
      <c r="B218" s="61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1.25" customHeight="1" x14ac:dyDescent="0.25">
      <c r="A219" s="45"/>
      <c r="B219" s="61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1.25" customHeight="1" x14ac:dyDescent="0.25">
      <c r="A220" s="45"/>
      <c r="B220" s="61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1.25" customHeight="1" x14ac:dyDescent="0.25">
      <c r="A221" s="45"/>
      <c r="B221" s="61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1.25" customHeight="1" x14ac:dyDescent="0.25">
      <c r="A222" s="45"/>
      <c r="B222" s="61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1.25" customHeight="1" x14ac:dyDescent="0.25">
      <c r="A223" s="45"/>
      <c r="B223" s="61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1.25" customHeight="1" x14ac:dyDescent="0.25">
      <c r="A224" s="45"/>
      <c r="B224" s="61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1.25" customHeight="1" x14ac:dyDescent="0.25">
      <c r="A225" s="45"/>
      <c r="B225" s="61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1.25" customHeight="1" x14ac:dyDescent="0.25">
      <c r="A226" s="45"/>
      <c r="B226" s="61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1.25" customHeight="1" x14ac:dyDescent="0.25">
      <c r="A227" s="45"/>
      <c r="B227" s="61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1.25" customHeight="1" x14ac:dyDescent="0.25">
      <c r="A228" s="45"/>
      <c r="B228" s="61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1.25" customHeight="1" x14ac:dyDescent="0.25">
      <c r="A229" s="45"/>
      <c r="B229" s="61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1.25" customHeight="1" x14ac:dyDescent="0.25">
      <c r="A230" s="45"/>
      <c r="B230" s="61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1.25" customHeight="1" x14ac:dyDescent="0.25">
      <c r="A231" s="45"/>
      <c r="B231" s="61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1.25" customHeight="1" x14ac:dyDescent="0.25">
      <c r="A232" s="45"/>
      <c r="B232" s="61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1.25" customHeight="1" x14ac:dyDescent="0.25">
      <c r="A233" s="45"/>
      <c r="B233" s="61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1.25" customHeight="1" x14ac:dyDescent="0.25">
      <c r="A234" s="45"/>
      <c r="B234" s="61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1.25" customHeight="1" x14ac:dyDescent="0.25">
      <c r="A235" s="45"/>
      <c r="B235" s="61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1.25" customHeight="1" x14ac:dyDescent="0.25">
      <c r="A236" s="45"/>
      <c r="B236" s="61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1.25" customHeight="1" x14ac:dyDescent="0.25">
      <c r="A237" s="45"/>
      <c r="B237" s="61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1.25" customHeight="1" x14ac:dyDescent="0.25">
      <c r="A238" s="45"/>
      <c r="B238" s="61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1.25" customHeight="1" x14ac:dyDescent="0.25">
      <c r="A239" s="45"/>
      <c r="B239" s="61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1.25" customHeight="1" x14ac:dyDescent="0.25">
      <c r="A240" s="45"/>
      <c r="B240" s="61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1.25" customHeight="1" x14ac:dyDescent="0.25">
      <c r="A241" s="45"/>
      <c r="B241" s="61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1.25" customHeight="1" x14ac:dyDescent="0.25">
      <c r="A242" s="45"/>
      <c r="B242" s="61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1.25" customHeight="1" x14ac:dyDescent="0.25">
      <c r="A243" s="45"/>
      <c r="B243" s="61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1.25" customHeight="1" x14ac:dyDescent="0.25">
      <c r="A244" s="45"/>
      <c r="B244" s="61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1.25" customHeight="1" x14ac:dyDescent="0.25">
      <c r="A245" s="45"/>
      <c r="B245" s="61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1.25" customHeight="1" x14ac:dyDescent="0.25">
      <c r="A246" s="45"/>
      <c r="B246" s="61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1.25" customHeight="1" x14ac:dyDescent="0.25">
      <c r="A247" s="45"/>
      <c r="B247" s="61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1.25" customHeight="1" x14ac:dyDescent="0.25">
      <c r="A248" s="45"/>
      <c r="B248" s="61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1.25" customHeight="1" x14ac:dyDescent="0.25">
      <c r="A249" s="45"/>
      <c r="B249" s="61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1.25" customHeight="1" x14ac:dyDescent="0.25">
      <c r="A250" s="3"/>
      <c r="B250" s="61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1.25" customHeight="1" x14ac:dyDescent="0.25">
      <c r="A251" s="3"/>
      <c r="B251" s="61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1.25" customHeight="1" x14ac:dyDescent="0.25">
      <c r="A252" s="3"/>
      <c r="B252" s="61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1.25" customHeight="1" x14ac:dyDescent="0.25">
      <c r="A253" s="3"/>
      <c r="B253" s="61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1.25" customHeight="1" x14ac:dyDescent="0.25">
      <c r="A254" s="3"/>
      <c r="B254" s="61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1.25" customHeight="1" x14ac:dyDescent="0.25">
      <c r="A255" s="3"/>
      <c r="B255" s="61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1.25" customHeight="1" x14ac:dyDescent="0.25">
      <c r="A256" s="3"/>
      <c r="B256" s="61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1.25" customHeight="1" x14ac:dyDescent="0.25">
      <c r="A257" s="3"/>
      <c r="B257" s="61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1.25" customHeight="1" x14ac:dyDescent="0.25">
      <c r="A258" s="3"/>
      <c r="B258" s="61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1.25" customHeight="1" x14ac:dyDescent="0.25">
      <c r="A259" s="3"/>
      <c r="B259" s="61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1.25" customHeight="1" x14ac:dyDescent="0.25">
      <c r="A260" s="3"/>
      <c r="B260" s="61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1.25" customHeight="1" x14ac:dyDescent="0.25">
      <c r="A261" s="3"/>
      <c r="B261" s="61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1.25" customHeight="1" x14ac:dyDescent="0.25">
      <c r="A262" s="3"/>
      <c r="B262" s="61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1.25" customHeight="1" x14ac:dyDescent="0.25">
      <c r="A263" s="3"/>
      <c r="B263" s="61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1.25" customHeight="1" x14ac:dyDescent="0.25">
      <c r="A264" s="3"/>
      <c r="B264" s="61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1.25" customHeight="1" x14ac:dyDescent="0.25">
      <c r="A265" s="3"/>
      <c r="B265" s="61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1.25" customHeight="1" x14ac:dyDescent="0.25">
      <c r="A266" s="3"/>
      <c r="B266" s="61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1.25" customHeight="1" x14ac:dyDescent="0.25">
      <c r="A267" s="3"/>
      <c r="B267" s="61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1.25" customHeight="1" x14ac:dyDescent="0.25">
      <c r="A268" s="3"/>
      <c r="B268" s="61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1.25" customHeight="1" x14ac:dyDescent="0.25">
      <c r="A269" s="3"/>
      <c r="B269" s="61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1.25" customHeight="1" x14ac:dyDescent="0.25">
      <c r="A270" s="3"/>
      <c r="B270" s="61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1.25" customHeight="1" x14ac:dyDescent="0.25">
      <c r="A271" s="3"/>
      <c r="B271" s="61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1.25" customHeight="1" x14ac:dyDescent="0.25">
      <c r="A272" s="3"/>
      <c r="B272" s="61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1.25" customHeight="1" x14ac:dyDescent="0.25">
      <c r="A273" s="3"/>
      <c r="B273" s="61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1.25" customHeight="1" x14ac:dyDescent="0.25">
      <c r="A274" s="3"/>
      <c r="B274" s="61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1.25" customHeight="1" x14ac:dyDescent="0.25">
      <c r="A275" s="3"/>
      <c r="B275" s="61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1.25" customHeight="1" x14ac:dyDescent="0.25">
      <c r="A276" s="3"/>
      <c r="B276" s="61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1.25" customHeight="1" x14ac:dyDescent="0.25">
      <c r="A277" s="3"/>
      <c r="B277" s="61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1.25" customHeight="1" x14ac:dyDescent="0.25">
      <c r="A278" s="3"/>
      <c r="B278" s="61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1.25" customHeight="1" x14ac:dyDescent="0.25">
      <c r="A279" s="3"/>
      <c r="B279" s="61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1.25" customHeight="1" x14ac:dyDescent="0.25">
      <c r="A280" s="3"/>
      <c r="B280" s="61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1.25" customHeight="1" x14ac:dyDescent="0.25">
      <c r="A281" s="3"/>
      <c r="B281" s="61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1.25" customHeight="1" x14ac:dyDescent="0.25">
      <c r="A282" s="3"/>
      <c r="B282" s="61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1.25" customHeight="1" x14ac:dyDescent="0.25">
      <c r="A283" s="3"/>
      <c r="B283" s="61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1.25" customHeight="1" x14ac:dyDescent="0.25">
      <c r="A284" s="3"/>
      <c r="B284" s="61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1.25" customHeight="1" x14ac:dyDescent="0.25">
      <c r="A285" s="3"/>
      <c r="B285" s="61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1.25" customHeight="1" x14ac:dyDescent="0.25">
      <c r="A286" s="3"/>
      <c r="B286" s="61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1.25" customHeight="1" x14ac:dyDescent="0.25">
      <c r="A287" s="3"/>
      <c r="B287" s="61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1.25" customHeight="1" x14ac:dyDescent="0.25">
      <c r="A288" s="3"/>
      <c r="B288" s="61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1.25" customHeight="1" x14ac:dyDescent="0.25">
      <c r="A289" s="3"/>
      <c r="B289" s="61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1.25" customHeight="1" x14ac:dyDescent="0.25">
      <c r="A290" s="3"/>
      <c r="B290" s="61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1.25" customHeight="1" x14ac:dyDescent="0.25">
      <c r="A291" s="3"/>
      <c r="B291" s="61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1.25" customHeight="1" x14ac:dyDescent="0.25">
      <c r="A292" s="3"/>
      <c r="B292" s="61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1.25" customHeight="1" x14ac:dyDescent="0.25">
      <c r="A293" s="3"/>
      <c r="B293" s="61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1.25" customHeight="1" x14ac:dyDescent="0.25">
      <c r="A294" s="3"/>
      <c r="B294" s="61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1.25" customHeight="1" x14ac:dyDescent="0.25">
      <c r="A295" s="3"/>
      <c r="B295" s="61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1.25" customHeight="1" x14ac:dyDescent="0.25">
      <c r="A296" s="3"/>
      <c r="B296" s="61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1.25" customHeight="1" x14ac:dyDescent="0.25">
      <c r="A297" s="3"/>
      <c r="B297" s="61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1.25" customHeight="1" x14ac:dyDescent="0.25">
      <c r="A298" s="3"/>
      <c r="B298" s="61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1.25" customHeight="1" x14ac:dyDescent="0.25">
      <c r="A299" s="3"/>
      <c r="B299" s="61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1.25" customHeight="1" x14ac:dyDescent="0.25">
      <c r="A300" s="3"/>
      <c r="B300" s="61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1.25" customHeight="1" x14ac:dyDescent="0.25">
      <c r="A301" s="3"/>
      <c r="B301" s="61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1.25" customHeight="1" x14ac:dyDescent="0.25">
      <c r="A302" s="3"/>
      <c r="B302" s="61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1.25" customHeight="1" x14ac:dyDescent="0.25">
      <c r="A303" s="3"/>
      <c r="B303" s="61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1.25" customHeight="1" x14ac:dyDescent="0.25">
      <c r="A304" s="3"/>
      <c r="B304" s="61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1.25" customHeight="1" x14ac:dyDescent="0.25">
      <c r="A305" s="3"/>
      <c r="B305" s="61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1.25" customHeight="1" x14ac:dyDescent="0.25">
      <c r="A306" s="3"/>
      <c r="B306" s="61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1.25" customHeight="1" x14ac:dyDescent="0.25">
      <c r="A307" s="3"/>
      <c r="B307" s="61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1.25" customHeight="1" x14ac:dyDescent="0.25">
      <c r="A308" s="3"/>
      <c r="B308" s="61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1.25" customHeight="1" x14ac:dyDescent="0.25">
      <c r="A309" s="3"/>
      <c r="B309" s="61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1.25" customHeight="1" x14ac:dyDescent="0.25">
      <c r="A310" s="3"/>
      <c r="B310" s="61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1.25" customHeight="1" x14ac:dyDescent="0.25">
      <c r="A311" s="3"/>
      <c r="B311" s="61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1.25" customHeight="1" x14ac:dyDescent="0.25">
      <c r="A312" s="3"/>
      <c r="B312" s="61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1.25" customHeight="1" x14ac:dyDescent="0.25">
      <c r="A313" s="3"/>
      <c r="B313" s="61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1.25" customHeight="1" x14ac:dyDescent="0.25">
      <c r="A314" s="3"/>
      <c r="B314" s="61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1.25" customHeight="1" x14ac:dyDescent="0.25">
      <c r="A315" s="3"/>
      <c r="B315" s="61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1.25" customHeight="1" x14ac:dyDescent="0.25">
      <c r="A316" s="3"/>
      <c r="B316" s="61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1.25" customHeight="1" x14ac:dyDescent="0.25">
      <c r="A317" s="3"/>
      <c r="B317" s="61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1.25" customHeight="1" x14ac:dyDescent="0.25">
      <c r="A318" s="3"/>
      <c r="B318" s="61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1.25" customHeight="1" x14ac:dyDescent="0.25">
      <c r="A319" s="3"/>
      <c r="B319" s="61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1.25" customHeight="1" x14ac:dyDescent="0.25">
      <c r="A320" s="3"/>
      <c r="B320" s="61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1.25" customHeight="1" x14ac:dyDescent="0.25">
      <c r="A321" s="3"/>
      <c r="B321" s="61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1.25" customHeight="1" x14ac:dyDescent="0.25">
      <c r="A322" s="3"/>
      <c r="B322" s="61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1.25" customHeight="1" x14ac:dyDescent="0.25">
      <c r="A323" s="3"/>
      <c r="B323" s="61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1.25" customHeight="1" x14ac:dyDescent="0.25">
      <c r="A324" s="3"/>
      <c r="B324" s="61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1.25" customHeight="1" x14ac:dyDescent="0.25">
      <c r="A325" s="3"/>
      <c r="B325" s="61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1.25" customHeight="1" x14ac:dyDescent="0.25">
      <c r="A326" s="3"/>
      <c r="B326" s="61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1.25" customHeight="1" x14ac:dyDescent="0.25">
      <c r="A327" s="3"/>
      <c r="B327" s="61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1.25" customHeight="1" x14ac:dyDescent="0.25">
      <c r="A328" s="3"/>
      <c r="B328" s="61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1.25" customHeight="1" x14ac:dyDescent="0.25">
      <c r="A329" s="3"/>
      <c r="B329" s="61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1.25" customHeight="1" x14ac:dyDescent="0.25">
      <c r="A330" s="3"/>
      <c r="B330" s="61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1.25" customHeight="1" x14ac:dyDescent="0.25">
      <c r="A331" s="3"/>
      <c r="B331" s="61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1.25" customHeight="1" x14ac:dyDescent="0.25">
      <c r="A332" s="3"/>
      <c r="B332" s="61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1.25" customHeight="1" x14ac:dyDescent="0.25">
      <c r="A333" s="3"/>
      <c r="B333" s="61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1.25" customHeight="1" x14ac:dyDescent="0.25">
      <c r="A334" s="3"/>
      <c r="B334" s="61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1.25" customHeight="1" x14ac:dyDescent="0.25">
      <c r="A335" s="3"/>
      <c r="B335" s="61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1.25" customHeight="1" x14ac:dyDescent="0.25">
      <c r="A336" s="3"/>
      <c r="B336" s="61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1.25" customHeight="1" x14ac:dyDescent="0.25">
      <c r="A337" s="3"/>
      <c r="B337" s="61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1.25" customHeight="1" x14ac:dyDescent="0.25">
      <c r="A338" s="3"/>
      <c r="B338" s="61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1.25" customHeight="1" x14ac:dyDescent="0.25">
      <c r="A339" s="3"/>
      <c r="B339" s="61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1.25" customHeight="1" x14ac:dyDescent="0.25">
      <c r="A340" s="3"/>
      <c r="B340" s="61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1.25" customHeight="1" x14ac:dyDescent="0.25">
      <c r="A341" s="3"/>
      <c r="B341" s="61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1.25" customHeight="1" x14ac:dyDescent="0.25">
      <c r="A342" s="3"/>
      <c r="B342" s="61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1.25" customHeight="1" x14ac:dyDescent="0.25">
      <c r="A343" s="3"/>
      <c r="B343" s="61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1.25" customHeight="1" x14ac:dyDescent="0.25">
      <c r="A344" s="3"/>
      <c r="B344" s="61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1.25" customHeight="1" x14ac:dyDescent="0.25">
      <c r="A345" s="3"/>
      <c r="B345" s="61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1.25" customHeight="1" x14ac:dyDescent="0.25">
      <c r="A346" s="3"/>
      <c r="B346" s="61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1.25" customHeight="1" x14ac:dyDescent="0.25">
      <c r="A347" s="3"/>
      <c r="B347" s="61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1.25" customHeight="1" x14ac:dyDescent="0.25">
      <c r="A348" s="3"/>
      <c r="B348" s="61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1.25" customHeight="1" x14ac:dyDescent="0.25">
      <c r="A349" s="3"/>
      <c r="B349" s="61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1.25" customHeight="1" x14ac:dyDescent="0.25">
      <c r="A350" s="3"/>
      <c r="B350" s="61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1.25" customHeight="1" x14ac:dyDescent="0.25">
      <c r="A351" s="3"/>
      <c r="B351" s="61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1.25" customHeight="1" x14ac:dyDescent="0.25">
      <c r="A352" s="3"/>
      <c r="B352" s="61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1.25" customHeight="1" x14ac:dyDescent="0.25">
      <c r="A353" s="3"/>
      <c r="B353" s="61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1.25" customHeight="1" x14ac:dyDescent="0.25">
      <c r="A354" s="3"/>
      <c r="B354" s="61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1.25" customHeight="1" x14ac:dyDescent="0.25">
      <c r="A355" s="3"/>
      <c r="B355" s="61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1.25" customHeight="1" x14ac:dyDescent="0.25">
      <c r="A356" s="3"/>
      <c r="B356" s="61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1.25" customHeight="1" x14ac:dyDescent="0.25">
      <c r="A357" s="3"/>
      <c r="B357" s="61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1.25" customHeight="1" x14ac:dyDescent="0.25">
      <c r="A358" s="3"/>
      <c r="B358" s="61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1.25" customHeight="1" x14ac:dyDescent="0.25">
      <c r="A359" s="3"/>
      <c r="B359" s="61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1.25" customHeight="1" x14ac:dyDescent="0.25">
      <c r="A360" s="3"/>
      <c r="B360" s="61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1.25" customHeight="1" x14ac:dyDescent="0.25">
      <c r="A361" s="3"/>
      <c r="B361" s="61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1.25" customHeight="1" x14ac:dyDescent="0.25">
      <c r="A362" s="3"/>
      <c r="B362" s="61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1.25" customHeight="1" x14ac:dyDescent="0.25">
      <c r="A363" s="3"/>
      <c r="B363" s="61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1.25" customHeight="1" x14ac:dyDescent="0.25">
      <c r="A364" s="3"/>
      <c r="B364" s="61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1.25" customHeight="1" x14ac:dyDescent="0.25">
      <c r="A365" s="3"/>
      <c r="B365" s="61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1.25" customHeight="1" x14ac:dyDescent="0.25">
      <c r="A366" s="3"/>
      <c r="B366" s="61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1.25" customHeight="1" x14ac:dyDescent="0.25">
      <c r="A367" s="3"/>
      <c r="B367" s="61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1.25" customHeight="1" x14ac:dyDescent="0.25">
      <c r="A368" s="3"/>
      <c r="B368" s="61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1.25" customHeight="1" x14ac:dyDescent="0.25">
      <c r="A369" s="3"/>
      <c r="B369" s="61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1.25" customHeight="1" x14ac:dyDescent="0.25">
      <c r="A370" s="3"/>
      <c r="B370" s="61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1.25" customHeight="1" x14ac:dyDescent="0.25">
      <c r="A371" s="3"/>
      <c r="B371" s="61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1.25" customHeight="1" x14ac:dyDescent="0.25">
      <c r="A372" s="3"/>
      <c r="B372" s="61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1.25" customHeight="1" x14ac:dyDescent="0.25">
      <c r="A373" s="3"/>
      <c r="B373" s="61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1.25" customHeight="1" x14ac:dyDescent="0.25">
      <c r="A374" s="3"/>
      <c r="B374" s="61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1.25" customHeight="1" x14ac:dyDescent="0.25">
      <c r="A375" s="3"/>
      <c r="B375" s="61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1.25" customHeight="1" x14ac:dyDescent="0.25">
      <c r="A376" s="3"/>
      <c r="B376" s="61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1.25" customHeight="1" x14ac:dyDescent="0.25">
      <c r="A377" s="3"/>
      <c r="B377" s="61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1.25" customHeight="1" x14ac:dyDescent="0.25">
      <c r="A378" s="3"/>
      <c r="B378" s="61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1.25" customHeight="1" x14ac:dyDescent="0.25">
      <c r="A379" s="3"/>
      <c r="B379" s="61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1.25" customHeight="1" x14ac:dyDescent="0.25">
      <c r="A380" s="3"/>
      <c r="B380" s="61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1.25" customHeight="1" x14ac:dyDescent="0.25">
      <c r="A381" s="3"/>
      <c r="B381" s="61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1.25" customHeight="1" x14ac:dyDescent="0.25">
      <c r="A382" s="3"/>
      <c r="B382" s="61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1.25" customHeight="1" x14ac:dyDescent="0.25">
      <c r="A383" s="3"/>
      <c r="B383" s="61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1.25" customHeight="1" x14ac:dyDescent="0.25">
      <c r="A384" s="3"/>
      <c r="B384" s="61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1.25" customHeight="1" x14ac:dyDescent="0.25">
      <c r="A385" s="3"/>
      <c r="B385" s="61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1.25" customHeight="1" x14ac:dyDescent="0.25">
      <c r="A386" s="3"/>
      <c r="B386" s="61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1.25" customHeight="1" x14ac:dyDescent="0.25">
      <c r="A387" s="3"/>
      <c r="B387" s="61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1.25" customHeight="1" x14ac:dyDescent="0.25">
      <c r="A388" s="3"/>
      <c r="B388" s="61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1.25" customHeight="1" x14ac:dyDescent="0.25">
      <c r="A389" s="3"/>
      <c r="B389" s="61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1.25" customHeight="1" x14ac:dyDescent="0.25">
      <c r="A390" s="3"/>
      <c r="B390" s="61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1.25" customHeight="1" x14ac:dyDescent="0.25">
      <c r="A391" s="3"/>
      <c r="B391" s="61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1.25" customHeight="1" x14ac:dyDescent="0.25">
      <c r="A392" s="3"/>
      <c r="B392" s="61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1.25" customHeight="1" x14ac:dyDescent="0.25">
      <c r="A393" s="3"/>
      <c r="B393" s="61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1.25" customHeight="1" x14ac:dyDescent="0.25">
      <c r="A394" s="3"/>
      <c r="B394" s="61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1.25" customHeight="1" x14ac:dyDescent="0.25">
      <c r="A395" s="3"/>
      <c r="B395" s="61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1.25" customHeight="1" x14ac:dyDescent="0.25">
      <c r="A396" s="3"/>
      <c r="B396" s="61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1.25" customHeight="1" x14ac:dyDescent="0.25">
      <c r="A397" s="3"/>
      <c r="B397" s="61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1.25" customHeight="1" x14ac:dyDescent="0.25">
      <c r="A398" s="3"/>
      <c r="B398" s="61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1.25" customHeight="1" x14ac:dyDescent="0.25">
      <c r="A399" s="3"/>
      <c r="B399" s="61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1.25" customHeight="1" x14ac:dyDescent="0.25">
      <c r="A400" s="3"/>
      <c r="B400" s="61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1.25" customHeight="1" x14ac:dyDescent="0.25">
      <c r="A401" s="3"/>
      <c r="B401" s="61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1.25" customHeight="1" x14ac:dyDescent="0.25">
      <c r="A402" s="3"/>
      <c r="B402" s="61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1.25" customHeight="1" x14ac:dyDescent="0.25">
      <c r="A403" s="3"/>
      <c r="B403" s="61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1.25" customHeight="1" x14ac:dyDescent="0.25">
      <c r="A404" s="3"/>
      <c r="B404" s="61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1.25" customHeight="1" x14ac:dyDescent="0.25">
      <c r="A405" s="3"/>
      <c r="B405" s="61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1.25" customHeight="1" x14ac:dyDescent="0.25">
      <c r="A406" s="3"/>
      <c r="B406" s="61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1.25" customHeight="1" x14ac:dyDescent="0.25">
      <c r="A407" s="3"/>
      <c r="B407" s="61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1.25" customHeight="1" x14ac:dyDescent="0.25">
      <c r="A408" s="3"/>
      <c r="B408" s="61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1.25" customHeight="1" x14ac:dyDescent="0.25">
      <c r="A409" s="3"/>
      <c r="B409" s="61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1.25" customHeight="1" x14ac:dyDescent="0.25">
      <c r="A410" s="3"/>
      <c r="B410" s="61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1.25" customHeight="1" x14ac:dyDescent="0.25">
      <c r="A411" s="3"/>
      <c r="B411" s="61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1.25" customHeight="1" x14ac:dyDescent="0.25">
      <c r="A412" s="3"/>
      <c r="B412" s="61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1.25" customHeight="1" x14ac:dyDescent="0.25">
      <c r="A413" s="3"/>
      <c r="B413" s="61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1.25" customHeight="1" x14ac:dyDescent="0.25">
      <c r="A414" s="3"/>
      <c r="B414" s="61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1.25" customHeight="1" x14ac:dyDescent="0.25">
      <c r="A415" s="3"/>
      <c r="B415" s="61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1.25" customHeight="1" x14ac:dyDescent="0.25">
      <c r="A416" s="3"/>
      <c r="B416" s="61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1.25" customHeight="1" x14ac:dyDescent="0.25">
      <c r="A417" s="3"/>
      <c r="B417" s="61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1.25" customHeight="1" x14ac:dyDescent="0.25">
      <c r="A418" s="3"/>
      <c r="B418" s="61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1.25" customHeight="1" x14ac:dyDescent="0.25">
      <c r="A419" s="3"/>
      <c r="B419" s="61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1.25" customHeight="1" x14ac:dyDescent="0.25">
      <c r="A420" s="3"/>
      <c r="B420" s="61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1.25" customHeight="1" x14ac:dyDescent="0.25">
      <c r="A421" s="3"/>
      <c r="B421" s="61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1.25" customHeight="1" x14ac:dyDescent="0.25">
      <c r="A422" s="3"/>
      <c r="B422" s="61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1.25" customHeight="1" x14ac:dyDescent="0.25">
      <c r="A423" s="3"/>
      <c r="B423" s="61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1.25" customHeight="1" x14ac:dyDescent="0.25">
      <c r="A424" s="3"/>
      <c r="B424" s="61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1.25" customHeight="1" x14ac:dyDescent="0.25">
      <c r="A425" s="3"/>
      <c r="B425" s="61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1.25" customHeight="1" x14ac:dyDescent="0.25">
      <c r="A426" s="3"/>
      <c r="B426" s="61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1.25" customHeight="1" x14ac:dyDescent="0.25">
      <c r="A427" s="3"/>
      <c r="B427" s="61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1.25" customHeight="1" x14ac:dyDescent="0.25">
      <c r="A428" s="3"/>
      <c r="B428" s="61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1.25" customHeight="1" x14ac:dyDescent="0.25">
      <c r="A429" s="3"/>
      <c r="B429" s="61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1.25" customHeight="1" x14ac:dyDescent="0.25">
      <c r="A430" s="3"/>
      <c r="B430" s="61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1.25" customHeight="1" x14ac:dyDescent="0.25">
      <c r="A431" s="3"/>
      <c r="B431" s="61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1.25" customHeight="1" x14ac:dyDescent="0.25">
      <c r="A432" s="3"/>
      <c r="B432" s="61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1.25" customHeight="1" x14ac:dyDescent="0.25">
      <c r="A433" s="3"/>
      <c r="B433" s="61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1.25" customHeight="1" x14ac:dyDescent="0.25">
      <c r="A434" s="3"/>
      <c r="B434" s="61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1.25" customHeight="1" x14ac:dyDescent="0.25">
      <c r="A435" s="3"/>
      <c r="B435" s="61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1.25" customHeight="1" x14ac:dyDescent="0.25">
      <c r="A436" s="3"/>
      <c r="B436" s="61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1.25" customHeight="1" x14ac:dyDescent="0.25">
      <c r="A437" s="3"/>
      <c r="B437" s="61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1.25" customHeight="1" x14ac:dyDescent="0.25">
      <c r="A438" s="3"/>
      <c r="B438" s="61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1.25" customHeight="1" x14ac:dyDescent="0.25">
      <c r="A439" s="3"/>
      <c r="B439" s="61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1.25" customHeight="1" x14ac:dyDescent="0.25">
      <c r="A440" s="3"/>
      <c r="B440" s="61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1.25" customHeight="1" x14ac:dyDescent="0.25">
      <c r="A441" s="3"/>
      <c r="B441" s="61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1.25" customHeight="1" x14ac:dyDescent="0.25">
      <c r="A442" s="3"/>
      <c r="B442" s="61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1.25" customHeight="1" x14ac:dyDescent="0.25">
      <c r="A443" s="3"/>
      <c r="B443" s="61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1.25" customHeight="1" x14ac:dyDescent="0.25">
      <c r="A444" s="3"/>
      <c r="B444" s="61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1.25" customHeight="1" x14ac:dyDescent="0.25">
      <c r="A445" s="3"/>
      <c r="B445" s="61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1.25" customHeight="1" x14ac:dyDescent="0.25">
      <c r="A446" s="3"/>
      <c r="B446" s="61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1.25" customHeight="1" x14ac:dyDescent="0.25">
      <c r="A447" s="3"/>
      <c r="B447" s="61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1.25" customHeight="1" x14ac:dyDescent="0.25">
      <c r="A448" s="3"/>
      <c r="B448" s="61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1.25" customHeight="1" x14ac:dyDescent="0.25">
      <c r="A449" s="3"/>
      <c r="B449" s="61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1.25" customHeight="1" x14ac:dyDescent="0.25">
      <c r="A450" s="3"/>
      <c r="B450" s="61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1.25" customHeight="1" x14ac:dyDescent="0.25">
      <c r="A451" s="3"/>
      <c r="B451" s="61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1.25" customHeight="1" x14ac:dyDescent="0.25">
      <c r="A452" s="3"/>
      <c r="B452" s="61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1.25" customHeight="1" x14ac:dyDescent="0.25">
      <c r="A453" s="3"/>
      <c r="B453" s="61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1.25" customHeight="1" x14ac:dyDescent="0.25">
      <c r="A454" s="3"/>
      <c r="B454" s="61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1.25" customHeight="1" x14ac:dyDescent="0.25">
      <c r="A455" s="3"/>
      <c r="B455" s="61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1.25" customHeight="1" x14ac:dyDescent="0.25">
      <c r="A456" s="3"/>
      <c r="B456" s="61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1.25" customHeight="1" x14ac:dyDescent="0.25">
      <c r="A457" s="3"/>
      <c r="B457" s="61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1.25" customHeight="1" x14ac:dyDescent="0.25">
      <c r="A458" s="3"/>
      <c r="B458" s="61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1.25" customHeight="1" x14ac:dyDescent="0.25">
      <c r="A459" s="3"/>
      <c r="B459" s="61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1.25" customHeight="1" x14ac:dyDescent="0.25">
      <c r="A460" s="3"/>
      <c r="B460" s="61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1.25" customHeight="1" x14ac:dyDescent="0.25">
      <c r="A461" s="3"/>
      <c r="B461" s="61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1.25" customHeight="1" x14ac:dyDescent="0.25">
      <c r="A462" s="3"/>
      <c r="B462" s="61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1.25" customHeight="1" x14ac:dyDescent="0.25">
      <c r="A463" s="3"/>
      <c r="B463" s="61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1.25" customHeight="1" x14ac:dyDescent="0.25">
      <c r="A464" s="3"/>
      <c r="B464" s="61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1.25" customHeight="1" x14ac:dyDescent="0.25">
      <c r="A465" s="3"/>
      <c r="B465" s="61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1.25" customHeight="1" x14ac:dyDescent="0.25">
      <c r="A466" s="3"/>
      <c r="B466" s="61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1.25" customHeight="1" x14ac:dyDescent="0.25">
      <c r="A467" s="3"/>
      <c r="B467" s="61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1.25" customHeight="1" x14ac:dyDescent="0.25">
      <c r="A468" s="3"/>
      <c r="B468" s="61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1.25" customHeight="1" x14ac:dyDescent="0.25">
      <c r="A469" s="3"/>
      <c r="B469" s="61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1.25" customHeight="1" x14ac:dyDescent="0.25">
      <c r="A470" s="3"/>
      <c r="B470" s="61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1.25" customHeight="1" x14ac:dyDescent="0.25">
      <c r="A471" s="3"/>
      <c r="B471" s="61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1.25" customHeight="1" x14ac:dyDescent="0.25">
      <c r="A472" s="3"/>
      <c r="B472" s="61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1.25" customHeight="1" x14ac:dyDescent="0.25">
      <c r="A473" s="3"/>
      <c r="B473" s="61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1.25" customHeight="1" x14ac:dyDescent="0.25">
      <c r="A474" s="3"/>
      <c r="B474" s="61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1.25" customHeight="1" x14ac:dyDescent="0.25">
      <c r="A475" s="3"/>
      <c r="B475" s="61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1.25" customHeight="1" x14ac:dyDescent="0.25">
      <c r="A476" s="3"/>
      <c r="B476" s="61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1.25" customHeight="1" x14ac:dyDescent="0.25">
      <c r="A477" s="3"/>
      <c r="B477" s="61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1.25" customHeight="1" x14ac:dyDescent="0.25">
      <c r="A478" s="3"/>
      <c r="B478" s="61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1.25" customHeight="1" x14ac:dyDescent="0.25">
      <c r="A479" s="3"/>
      <c r="B479" s="61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1.25" customHeight="1" x14ac:dyDescent="0.25">
      <c r="A480" s="3"/>
      <c r="B480" s="61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1.25" customHeight="1" x14ac:dyDescent="0.25">
      <c r="A481" s="3"/>
      <c r="B481" s="61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1.25" customHeight="1" x14ac:dyDescent="0.25">
      <c r="A482" s="3"/>
      <c r="B482" s="61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1.25" customHeight="1" x14ac:dyDescent="0.25">
      <c r="A483" s="3"/>
      <c r="B483" s="61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1.25" customHeight="1" x14ac:dyDescent="0.25">
      <c r="A484" s="3"/>
      <c r="B484" s="61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1.25" customHeight="1" x14ac:dyDescent="0.25">
      <c r="A485" s="3"/>
      <c r="B485" s="61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1.25" customHeight="1" x14ac:dyDescent="0.25">
      <c r="A486" s="3"/>
      <c r="B486" s="61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1.25" customHeight="1" x14ac:dyDescent="0.25">
      <c r="A487" s="3"/>
      <c r="B487" s="61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1.25" customHeight="1" x14ac:dyDescent="0.25">
      <c r="A488" s="3"/>
      <c r="B488" s="61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1.25" customHeight="1" x14ac:dyDescent="0.25">
      <c r="A489" s="3"/>
      <c r="B489" s="61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1.25" customHeight="1" x14ac:dyDescent="0.25">
      <c r="A490" s="3"/>
      <c r="B490" s="61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1.25" customHeight="1" x14ac:dyDescent="0.25">
      <c r="A491" s="3"/>
      <c r="B491" s="61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1.25" customHeight="1" x14ac:dyDescent="0.25">
      <c r="A492" s="3"/>
      <c r="B492" s="61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1.25" customHeight="1" x14ac:dyDescent="0.25">
      <c r="A493" s="3"/>
      <c r="B493" s="61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1.25" customHeight="1" x14ac:dyDescent="0.25">
      <c r="A494" s="3"/>
      <c r="B494" s="61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1.25" customHeight="1" x14ac:dyDescent="0.25">
      <c r="A495" s="3"/>
      <c r="B495" s="61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1.25" customHeight="1" x14ac:dyDescent="0.25">
      <c r="A496" s="3"/>
      <c r="B496" s="61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1.25" customHeight="1" x14ac:dyDescent="0.25">
      <c r="A497" s="3"/>
      <c r="B497" s="61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1.25" customHeight="1" x14ac:dyDescent="0.25">
      <c r="A498" s="3"/>
      <c r="B498" s="61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1.25" customHeight="1" x14ac:dyDescent="0.25">
      <c r="A499" s="3"/>
      <c r="B499" s="61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1.25" customHeight="1" x14ac:dyDescent="0.25">
      <c r="A500" s="3"/>
      <c r="B500" s="61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1.25" customHeight="1" x14ac:dyDescent="0.25">
      <c r="A501" s="3"/>
      <c r="B501" s="61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1.25" customHeight="1" x14ac:dyDescent="0.25">
      <c r="A502" s="3"/>
      <c r="B502" s="61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1.25" customHeight="1" x14ac:dyDescent="0.25">
      <c r="A503" s="3"/>
      <c r="B503" s="61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1.25" customHeight="1" x14ac:dyDescent="0.25">
      <c r="A504" s="3"/>
      <c r="B504" s="61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1.25" customHeight="1" x14ac:dyDescent="0.25">
      <c r="A505" s="3"/>
      <c r="B505" s="61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1.25" customHeight="1" x14ac:dyDescent="0.25">
      <c r="A506" s="3"/>
      <c r="B506" s="61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1.25" customHeight="1" x14ac:dyDescent="0.25">
      <c r="A507" s="3"/>
      <c r="B507" s="61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1.25" customHeight="1" x14ac:dyDescent="0.25">
      <c r="A508" s="3"/>
      <c r="B508" s="61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1.25" customHeight="1" x14ac:dyDescent="0.25">
      <c r="A509" s="3"/>
      <c r="B509" s="61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1.25" customHeight="1" x14ac:dyDescent="0.25">
      <c r="A510" s="3"/>
      <c r="B510" s="61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1.25" customHeight="1" x14ac:dyDescent="0.25">
      <c r="A511" s="3"/>
      <c r="B511" s="61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1.25" customHeight="1" x14ac:dyDescent="0.25">
      <c r="A512" s="3"/>
      <c r="B512" s="61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1.25" customHeight="1" x14ac:dyDescent="0.25">
      <c r="A513" s="3"/>
      <c r="B513" s="61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1.25" customHeight="1" x14ac:dyDescent="0.25">
      <c r="A514" s="3"/>
      <c r="B514" s="61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1.25" customHeight="1" x14ac:dyDescent="0.25">
      <c r="A515" s="3"/>
      <c r="B515" s="61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1.25" customHeight="1" x14ac:dyDescent="0.25">
      <c r="A516" s="3"/>
      <c r="B516" s="61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1.25" customHeight="1" x14ac:dyDescent="0.25">
      <c r="A517" s="3"/>
      <c r="B517" s="61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1.25" customHeight="1" x14ac:dyDescent="0.25">
      <c r="A518" s="3"/>
      <c r="B518" s="61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1.25" customHeight="1" x14ac:dyDescent="0.25">
      <c r="A519" s="3"/>
      <c r="B519" s="61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1.25" customHeight="1" x14ac:dyDescent="0.25">
      <c r="A520" s="3"/>
      <c r="B520" s="61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1.25" customHeight="1" x14ac:dyDescent="0.25">
      <c r="A521" s="3"/>
      <c r="B521" s="61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1.25" customHeight="1" x14ac:dyDescent="0.25">
      <c r="A522" s="3"/>
      <c r="B522" s="61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1.25" customHeight="1" x14ac:dyDescent="0.25">
      <c r="A523" s="3"/>
      <c r="B523" s="61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1.25" customHeight="1" x14ac:dyDescent="0.25">
      <c r="A524" s="3"/>
      <c r="B524" s="61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1.25" customHeight="1" x14ac:dyDescent="0.25">
      <c r="A525" s="3"/>
      <c r="B525" s="61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1.25" customHeight="1" x14ac:dyDescent="0.25">
      <c r="A526" s="3"/>
      <c r="B526" s="61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1.25" customHeight="1" x14ac:dyDescent="0.25">
      <c r="A527" s="3"/>
      <c r="B527" s="61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1.25" customHeight="1" x14ac:dyDescent="0.25">
      <c r="A528" s="3"/>
      <c r="B528" s="61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1.25" customHeight="1" x14ac:dyDescent="0.25">
      <c r="A529" s="3"/>
      <c r="B529" s="61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1.25" customHeight="1" x14ac:dyDescent="0.25">
      <c r="A530" s="3"/>
      <c r="B530" s="61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1.25" customHeight="1" x14ac:dyDescent="0.25">
      <c r="A531" s="3"/>
      <c r="B531" s="61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1.25" customHeight="1" x14ac:dyDescent="0.25">
      <c r="A532" s="3"/>
      <c r="B532" s="61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1.25" customHeight="1" x14ac:dyDescent="0.25">
      <c r="A533" s="3"/>
      <c r="B533" s="61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1.25" customHeight="1" x14ac:dyDescent="0.25">
      <c r="A534" s="3"/>
      <c r="B534" s="61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1.25" customHeight="1" x14ac:dyDescent="0.25">
      <c r="A535" s="3"/>
      <c r="B535" s="61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1.25" customHeight="1" x14ac:dyDescent="0.25">
      <c r="A536" s="3"/>
      <c r="B536" s="61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1.25" customHeight="1" x14ac:dyDescent="0.25">
      <c r="A537" s="3"/>
      <c r="B537" s="61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1.25" customHeight="1" x14ac:dyDescent="0.25">
      <c r="A538" s="3"/>
      <c r="B538" s="61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1.25" customHeight="1" x14ac:dyDescent="0.25">
      <c r="A539" s="3"/>
      <c r="B539" s="61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1.25" customHeight="1" x14ac:dyDescent="0.25">
      <c r="A540" s="3"/>
      <c r="B540" s="61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1.25" customHeight="1" x14ac:dyDescent="0.25">
      <c r="A541" s="3"/>
      <c r="B541" s="61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1.25" customHeight="1" x14ac:dyDescent="0.25">
      <c r="A542" s="3"/>
      <c r="B542" s="61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1.25" customHeight="1" x14ac:dyDescent="0.25">
      <c r="A543" s="3"/>
      <c r="B543" s="61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1.25" customHeight="1" x14ac:dyDescent="0.25">
      <c r="A544" s="3"/>
      <c r="B544" s="61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1.25" customHeight="1" x14ac:dyDescent="0.25">
      <c r="A545" s="3"/>
      <c r="B545" s="61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1.25" customHeight="1" x14ac:dyDescent="0.25">
      <c r="A546" s="3"/>
      <c r="B546" s="61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1.25" customHeight="1" x14ac:dyDescent="0.25">
      <c r="A547" s="3"/>
      <c r="B547" s="61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1.25" customHeight="1" x14ac:dyDescent="0.25">
      <c r="A548" s="3"/>
      <c r="B548" s="61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1.25" customHeight="1" x14ac:dyDescent="0.25">
      <c r="A549" s="3"/>
      <c r="B549" s="61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1.25" customHeight="1" x14ac:dyDescent="0.25">
      <c r="A550" s="3"/>
      <c r="B550" s="61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1.25" customHeight="1" x14ac:dyDescent="0.25">
      <c r="A551" s="3"/>
      <c r="B551" s="61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1.25" customHeight="1" x14ac:dyDescent="0.25">
      <c r="A552" s="3"/>
      <c r="B552" s="61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1.25" customHeight="1" x14ac:dyDescent="0.25">
      <c r="A553" s="3"/>
      <c r="B553" s="61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1.25" customHeight="1" x14ac:dyDescent="0.25">
      <c r="A554" s="3"/>
      <c r="B554" s="61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1.25" customHeight="1" x14ac:dyDescent="0.25">
      <c r="A555" s="3"/>
      <c r="B555" s="61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1.25" customHeight="1" x14ac:dyDescent="0.25">
      <c r="A556" s="3"/>
      <c r="B556" s="61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1.25" customHeight="1" x14ac:dyDescent="0.25">
      <c r="A557" s="3"/>
      <c r="B557" s="61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1.25" customHeight="1" x14ac:dyDescent="0.25">
      <c r="A558" s="3"/>
      <c r="B558" s="61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1.25" customHeight="1" x14ac:dyDescent="0.25">
      <c r="A559" s="3"/>
      <c r="B559" s="61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1.25" customHeight="1" x14ac:dyDescent="0.25">
      <c r="A560" s="3"/>
      <c r="B560" s="61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1.25" customHeight="1" x14ac:dyDescent="0.25">
      <c r="A561" s="3"/>
      <c r="B561" s="61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1.25" customHeight="1" x14ac:dyDescent="0.25">
      <c r="A562" s="3"/>
      <c r="B562" s="61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1.25" customHeight="1" x14ac:dyDescent="0.25">
      <c r="A563" s="3"/>
      <c r="B563" s="61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1.25" customHeight="1" x14ac:dyDescent="0.25">
      <c r="A564" s="3"/>
      <c r="B564" s="61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1.25" customHeight="1" x14ac:dyDescent="0.25">
      <c r="A565" s="3"/>
      <c r="B565" s="61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1.25" customHeight="1" x14ac:dyDescent="0.25">
      <c r="A566" s="3"/>
      <c r="B566" s="61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1.25" customHeight="1" x14ac:dyDescent="0.25">
      <c r="A567" s="3"/>
      <c r="B567" s="61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1.25" customHeight="1" x14ac:dyDescent="0.25">
      <c r="A568" s="3"/>
      <c r="B568" s="61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1.25" customHeight="1" x14ac:dyDescent="0.25">
      <c r="A569" s="3"/>
      <c r="B569" s="61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1.25" customHeight="1" x14ac:dyDescent="0.25">
      <c r="A570" s="3"/>
      <c r="B570" s="61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1.25" customHeight="1" x14ac:dyDescent="0.25">
      <c r="A571" s="3"/>
      <c r="B571" s="61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1.25" customHeight="1" x14ac:dyDescent="0.25">
      <c r="A572" s="3"/>
      <c r="B572" s="61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1.25" customHeight="1" x14ac:dyDescent="0.25">
      <c r="A573" s="3"/>
      <c r="B573" s="61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1.25" customHeight="1" x14ac:dyDescent="0.25">
      <c r="A574" s="3"/>
      <c r="B574" s="61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1.25" customHeight="1" x14ac:dyDescent="0.25">
      <c r="A575" s="3"/>
      <c r="B575" s="61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1.25" customHeight="1" x14ac:dyDescent="0.25">
      <c r="A576" s="3"/>
      <c r="B576" s="61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1.25" customHeight="1" x14ac:dyDescent="0.25">
      <c r="A577" s="3"/>
      <c r="B577" s="61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1.25" customHeight="1" x14ac:dyDescent="0.25">
      <c r="A578" s="3"/>
      <c r="B578" s="61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1.25" customHeight="1" x14ac:dyDescent="0.25">
      <c r="A579" s="3"/>
      <c r="B579" s="61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1.25" customHeight="1" x14ac:dyDescent="0.25">
      <c r="A580" s="3"/>
      <c r="B580" s="61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1.25" customHeight="1" x14ac:dyDescent="0.25">
      <c r="A581" s="3"/>
      <c r="B581" s="61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1.25" customHeight="1" x14ac:dyDescent="0.25">
      <c r="A582" s="3"/>
      <c r="B582" s="61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1.25" customHeight="1" x14ac:dyDescent="0.25">
      <c r="A583" s="3"/>
      <c r="B583" s="61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1.25" customHeight="1" x14ac:dyDescent="0.25">
      <c r="A584" s="3"/>
      <c r="B584" s="61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1.25" customHeight="1" x14ac:dyDescent="0.25">
      <c r="A585" s="3"/>
      <c r="B585" s="61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1.25" customHeight="1" x14ac:dyDescent="0.25">
      <c r="A586" s="3"/>
      <c r="B586" s="61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1.25" customHeight="1" x14ac:dyDescent="0.25">
      <c r="A587" s="3"/>
      <c r="B587" s="61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1.25" customHeight="1" x14ac:dyDescent="0.25">
      <c r="A588" s="3"/>
      <c r="B588" s="61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1.25" customHeight="1" x14ac:dyDescent="0.25">
      <c r="A589" s="3"/>
      <c r="B589" s="61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1.25" customHeight="1" x14ac:dyDescent="0.25">
      <c r="A590" s="3"/>
      <c r="B590" s="61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1.25" customHeight="1" x14ac:dyDescent="0.25">
      <c r="A591" s="3"/>
      <c r="B591" s="61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1.25" customHeight="1" x14ac:dyDescent="0.25">
      <c r="A592" s="3"/>
      <c r="B592" s="61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1.25" customHeight="1" x14ac:dyDescent="0.25">
      <c r="A593" s="3"/>
      <c r="B593" s="61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1.25" customHeight="1" x14ac:dyDescent="0.25">
      <c r="A594" s="3"/>
      <c r="B594" s="61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1.25" customHeight="1" x14ac:dyDescent="0.25">
      <c r="A595" s="3"/>
      <c r="B595" s="61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1.25" customHeight="1" x14ac:dyDescent="0.25">
      <c r="A596" s="3"/>
      <c r="B596" s="61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1.25" customHeight="1" x14ac:dyDescent="0.25">
      <c r="A597" s="3"/>
      <c r="B597" s="61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1.25" customHeight="1" x14ac:dyDescent="0.25">
      <c r="A598" s="3"/>
      <c r="B598" s="61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1.25" customHeight="1" x14ac:dyDescent="0.25">
      <c r="A599" s="3"/>
      <c r="B599" s="61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1.25" customHeight="1" x14ac:dyDescent="0.25">
      <c r="A600" s="3"/>
      <c r="B600" s="61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1.25" customHeight="1" x14ac:dyDescent="0.25">
      <c r="A601" s="3"/>
      <c r="B601" s="61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1.25" customHeight="1" x14ac:dyDescent="0.25">
      <c r="A602" s="3"/>
      <c r="B602" s="61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1.25" customHeight="1" x14ac:dyDescent="0.25">
      <c r="A603" s="3"/>
      <c r="B603" s="61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1.25" customHeight="1" x14ac:dyDescent="0.25">
      <c r="A604" s="3"/>
      <c r="B604" s="61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1.25" customHeight="1" x14ac:dyDescent="0.25">
      <c r="A605" s="3"/>
      <c r="B605" s="61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1.25" customHeight="1" x14ac:dyDescent="0.25">
      <c r="A606" s="3"/>
      <c r="B606" s="61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1.25" customHeight="1" x14ac:dyDescent="0.25">
      <c r="A607" s="3"/>
      <c r="B607" s="61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1.25" customHeight="1" x14ac:dyDescent="0.25">
      <c r="A608" s="3"/>
      <c r="B608" s="61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1.25" customHeight="1" x14ac:dyDescent="0.25">
      <c r="A609" s="3"/>
      <c r="B609" s="61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1.25" customHeight="1" x14ac:dyDescent="0.25">
      <c r="A610" s="3"/>
      <c r="B610" s="61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1.25" customHeight="1" x14ac:dyDescent="0.25">
      <c r="A611" s="3"/>
      <c r="B611" s="61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1.25" customHeight="1" x14ac:dyDescent="0.25">
      <c r="A612" s="3"/>
      <c r="B612" s="61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1.25" customHeight="1" x14ac:dyDescent="0.25">
      <c r="A613" s="3"/>
      <c r="B613" s="61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1.25" customHeight="1" x14ac:dyDescent="0.25">
      <c r="A614" s="3"/>
      <c r="B614" s="61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1.25" customHeight="1" x14ac:dyDescent="0.25">
      <c r="A615" s="3"/>
      <c r="B615" s="61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1.25" customHeight="1" x14ac:dyDescent="0.25">
      <c r="A616" s="3"/>
      <c r="B616" s="61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1.25" customHeight="1" x14ac:dyDescent="0.25">
      <c r="A617" s="3"/>
      <c r="B617" s="61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1.25" customHeight="1" x14ac:dyDescent="0.25">
      <c r="A618" s="3"/>
      <c r="B618" s="61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1.25" customHeight="1" x14ac:dyDescent="0.25">
      <c r="A619" s="3"/>
      <c r="B619" s="61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1.25" customHeight="1" x14ac:dyDescent="0.25">
      <c r="A620" s="3"/>
      <c r="B620" s="61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1.25" customHeight="1" x14ac:dyDescent="0.25">
      <c r="A621" s="3"/>
      <c r="B621" s="61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1.25" customHeight="1" x14ac:dyDescent="0.25">
      <c r="A622" s="3"/>
      <c r="B622" s="61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1.25" customHeight="1" x14ac:dyDescent="0.25">
      <c r="A623" s="3"/>
      <c r="B623" s="61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1.25" customHeight="1" x14ac:dyDescent="0.25">
      <c r="A624" s="3"/>
      <c r="B624" s="61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1.25" customHeight="1" x14ac:dyDescent="0.25">
      <c r="A625" s="3"/>
      <c r="B625" s="61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1.25" customHeight="1" x14ac:dyDescent="0.25">
      <c r="A626" s="3"/>
      <c r="B626" s="61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1.25" customHeight="1" x14ac:dyDescent="0.25">
      <c r="A627" s="3"/>
      <c r="B627" s="61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1.25" customHeight="1" x14ac:dyDescent="0.25">
      <c r="A628" s="3"/>
      <c r="B628" s="61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1.25" customHeight="1" x14ac:dyDescent="0.25">
      <c r="A629" s="3"/>
      <c r="B629" s="61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1.25" customHeight="1" x14ac:dyDescent="0.25">
      <c r="A630" s="3"/>
      <c r="B630" s="61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1.25" customHeight="1" x14ac:dyDescent="0.25">
      <c r="A631" s="3"/>
      <c r="B631" s="61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1.25" customHeight="1" x14ac:dyDescent="0.25">
      <c r="A632" s="3"/>
      <c r="B632" s="61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1.25" customHeight="1" x14ac:dyDescent="0.25">
      <c r="A633" s="3"/>
      <c r="B633" s="61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1.25" customHeight="1" x14ac:dyDescent="0.25">
      <c r="A634" s="3"/>
      <c r="B634" s="61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1.25" customHeight="1" x14ac:dyDescent="0.25">
      <c r="A635" s="3"/>
      <c r="B635" s="61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1.25" customHeight="1" x14ac:dyDescent="0.25">
      <c r="A636" s="3"/>
      <c r="B636" s="61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1.25" customHeight="1" x14ac:dyDescent="0.25">
      <c r="A637" s="3"/>
      <c r="B637" s="61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1.25" customHeight="1" x14ac:dyDescent="0.25">
      <c r="A638" s="3"/>
      <c r="B638" s="61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1.25" customHeight="1" x14ac:dyDescent="0.25">
      <c r="A639" s="3"/>
      <c r="B639" s="61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1.25" customHeight="1" x14ac:dyDescent="0.25">
      <c r="A640" s="3"/>
      <c r="B640" s="61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1.25" customHeight="1" x14ac:dyDescent="0.25">
      <c r="A641" s="3"/>
      <c r="B641" s="61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1.25" customHeight="1" x14ac:dyDescent="0.25">
      <c r="A642" s="3"/>
      <c r="B642" s="61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1.25" customHeight="1" x14ac:dyDescent="0.25">
      <c r="A643" s="3"/>
      <c r="B643" s="61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1.25" customHeight="1" x14ac:dyDescent="0.25">
      <c r="A644" s="3"/>
      <c r="B644" s="61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1.25" customHeight="1" x14ac:dyDescent="0.25">
      <c r="A645" s="3"/>
      <c r="B645" s="61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1.25" customHeight="1" x14ac:dyDescent="0.25">
      <c r="A646" s="3"/>
      <c r="B646" s="61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1.25" customHeight="1" x14ac:dyDescent="0.25">
      <c r="A647" s="3"/>
      <c r="B647" s="61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1.25" customHeight="1" x14ac:dyDescent="0.25">
      <c r="A648" s="3"/>
      <c r="B648" s="61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1.25" customHeight="1" x14ac:dyDescent="0.25">
      <c r="A649" s="3"/>
      <c r="B649" s="61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1.25" customHeight="1" x14ac:dyDescent="0.25">
      <c r="A650" s="3"/>
      <c r="B650" s="61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1.25" customHeight="1" x14ac:dyDescent="0.25">
      <c r="A651" s="3"/>
      <c r="B651" s="61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1.25" customHeight="1" x14ac:dyDescent="0.25">
      <c r="A652" s="3"/>
      <c r="B652" s="61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1.25" customHeight="1" x14ac:dyDescent="0.25">
      <c r="A653" s="3"/>
      <c r="B653" s="61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1.25" customHeight="1" x14ac:dyDescent="0.25">
      <c r="A654" s="3"/>
      <c r="B654" s="61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1.25" customHeight="1" x14ac:dyDescent="0.25">
      <c r="A655" s="3"/>
      <c r="B655" s="61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1.25" customHeight="1" x14ac:dyDescent="0.25">
      <c r="A656" s="3"/>
      <c r="B656" s="61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1.25" customHeight="1" x14ac:dyDescent="0.25">
      <c r="A657" s="3"/>
      <c r="B657" s="61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1.25" customHeight="1" x14ac:dyDescent="0.25">
      <c r="A658" s="3"/>
      <c r="B658" s="61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1.25" customHeight="1" x14ac:dyDescent="0.25">
      <c r="A659" s="3"/>
      <c r="B659" s="61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1.25" customHeight="1" x14ac:dyDescent="0.25">
      <c r="A660" s="3"/>
      <c r="B660" s="61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1.25" customHeight="1" x14ac:dyDescent="0.25">
      <c r="A661" s="3"/>
      <c r="B661" s="61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1.25" customHeight="1" x14ac:dyDescent="0.25">
      <c r="A662" s="3"/>
      <c r="B662" s="61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1.25" customHeight="1" x14ac:dyDescent="0.25">
      <c r="A663" s="3"/>
      <c r="B663" s="61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1.25" customHeight="1" x14ac:dyDescent="0.25">
      <c r="A664" s="3"/>
      <c r="B664" s="61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1.25" customHeight="1" x14ac:dyDescent="0.25">
      <c r="A665" s="3"/>
      <c r="B665" s="61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1.25" customHeight="1" x14ac:dyDescent="0.25">
      <c r="A666" s="3"/>
      <c r="B666" s="61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1.25" customHeight="1" x14ac:dyDescent="0.25">
      <c r="A667" s="3"/>
      <c r="B667" s="61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1.25" customHeight="1" x14ac:dyDescent="0.25">
      <c r="A668" s="3"/>
      <c r="B668" s="61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1.25" customHeight="1" x14ac:dyDescent="0.25">
      <c r="A669" s="3"/>
      <c r="B669" s="61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1.25" customHeight="1" x14ac:dyDescent="0.25">
      <c r="A670" s="3"/>
      <c r="B670" s="61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1.25" customHeight="1" x14ac:dyDescent="0.25">
      <c r="A671" s="3"/>
      <c r="B671" s="61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1.25" customHeight="1" x14ac:dyDescent="0.25">
      <c r="A672" s="3"/>
      <c r="B672" s="61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1.25" customHeight="1" x14ac:dyDescent="0.25">
      <c r="A673" s="3"/>
      <c r="B673" s="61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1.25" customHeight="1" x14ac:dyDescent="0.25">
      <c r="A674" s="3"/>
      <c r="B674" s="61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1.25" customHeight="1" x14ac:dyDescent="0.25">
      <c r="A675" s="3"/>
      <c r="B675" s="61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1.25" customHeight="1" x14ac:dyDescent="0.25">
      <c r="A676" s="3"/>
      <c r="B676" s="61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1.25" customHeight="1" x14ac:dyDescent="0.25">
      <c r="A677" s="3"/>
      <c r="B677" s="61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1.25" customHeight="1" x14ac:dyDescent="0.25">
      <c r="A678" s="3"/>
      <c r="B678" s="61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1.25" customHeight="1" x14ac:dyDescent="0.25">
      <c r="A679" s="3"/>
      <c r="B679" s="61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1.25" customHeight="1" x14ac:dyDescent="0.25">
      <c r="A680" s="3"/>
      <c r="B680" s="61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1.25" customHeight="1" x14ac:dyDescent="0.25">
      <c r="A681" s="3"/>
      <c r="B681" s="61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1.25" customHeight="1" x14ac:dyDescent="0.25">
      <c r="A682" s="3"/>
      <c r="B682" s="61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1.25" customHeight="1" x14ac:dyDescent="0.25">
      <c r="A683" s="3"/>
      <c r="B683" s="61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1.25" customHeight="1" x14ac:dyDescent="0.25">
      <c r="A684" s="3"/>
      <c r="B684" s="61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1.25" customHeight="1" x14ac:dyDescent="0.25">
      <c r="A685" s="3"/>
      <c r="B685" s="61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1.25" customHeight="1" x14ac:dyDescent="0.25">
      <c r="A686" s="3"/>
      <c r="B686" s="61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1.25" customHeight="1" x14ac:dyDescent="0.25">
      <c r="A687" s="3"/>
      <c r="B687" s="61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1.25" customHeight="1" x14ac:dyDescent="0.25">
      <c r="A688" s="3"/>
      <c r="B688" s="61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1.25" customHeight="1" x14ac:dyDescent="0.25">
      <c r="A689" s="3"/>
      <c r="B689" s="61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1.25" customHeight="1" x14ac:dyDescent="0.25">
      <c r="A690" s="3"/>
      <c r="B690" s="61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1.25" customHeight="1" x14ac:dyDescent="0.25">
      <c r="A691" s="3"/>
      <c r="B691" s="61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1.25" customHeight="1" x14ac:dyDescent="0.25">
      <c r="A692" s="3"/>
      <c r="B692" s="61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1.25" customHeight="1" x14ac:dyDescent="0.25">
      <c r="A693" s="3"/>
      <c r="B693" s="61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1.25" customHeight="1" x14ac:dyDescent="0.25">
      <c r="A694" s="3"/>
      <c r="B694" s="61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1.25" customHeight="1" x14ac:dyDescent="0.25">
      <c r="A695" s="3"/>
      <c r="B695" s="61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1.25" customHeight="1" x14ac:dyDescent="0.25">
      <c r="A696" s="3"/>
      <c r="B696" s="61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1.25" customHeight="1" x14ac:dyDescent="0.25">
      <c r="A697" s="3"/>
      <c r="B697" s="61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1.25" customHeight="1" x14ac:dyDescent="0.25">
      <c r="A698" s="3"/>
      <c r="B698" s="61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1.25" customHeight="1" x14ac:dyDescent="0.25">
      <c r="A699" s="3"/>
      <c r="B699" s="61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1.25" customHeight="1" x14ac:dyDescent="0.25">
      <c r="A700" s="3"/>
      <c r="B700" s="61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1.25" customHeight="1" x14ac:dyDescent="0.25">
      <c r="A701" s="3"/>
      <c r="B701" s="61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1.25" customHeight="1" x14ac:dyDescent="0.25">
      <c r="A702" s="3"/>
      <c r="B702" s="61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1.25" customHeight="1" x14ac:dyDescent="0.25">
      <c r="A703" s="3"/>
      <c r="B703" s="61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1.25" customHeight="1" x14ac:dyDescent="0.25">
      <c r="A704" s="3"/>
      <c r="B704" s="61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1.25" customHeight="1" x14ac:dyDescent="0.25">
      <c r="A705" s="3"/>
      <c r="B705" s="61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1.25" customHeight="1" x14ac:dyDescent="0.25">
      <c r="A706" s="3"/>
      <c r="B706" s="61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1.25" customHeight="1" x14ac:dyDescent="0.25">
      <c r="A707" s="3"/>
      <c r="B707" s="61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1.25" customHeight="1" x14ac:dyDescent="0.25">
      <c r="A708" s="3"/>
      <c r="B708" s="61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1.25" customHeight="1" x14ac:dyDescent="0.25">
      <c r="A709" s="3"/>
      <c r="B709" s="61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1.25" customHeight="1" x14ac:dyDescent="0.25">
      <c r="A710" s="3"/>
      <c r="B710" s="61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1.25" customHeight="1" x14ac:dyDescent="0.25">
      <c r="A711" s="3"/>
      <c r="B711" s="61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1.25" customHeight="1" x14ac:dyDescent="0.25">
      <c r="A712" s="3"/>
      <c r="B712" s="61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1.25" customHeight="1" x14ac:dyDescent="0.25">
      <c r="A713" s="3"/>
      <c r="B713" s="61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1.25" customHeight="1" x14ac:dyDescent="0.25">
      <c r="A714" s="3"/>
      <c r="B714" s="61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1.25" customHeight="1" x14ac:dyDescent="0.25">
      <c r="A715" s="3"/>
      <c r="B715" s="61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1.25" customHeight="1" x14ac:dyDescent="0.25">
      <c r="A716" s="3"/>
      <c r="B716" s="61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1.25" customHeight="1" x14ac:dyDescent="0.25">
      <c r="A717" s="3"/>
      <c r="B717" s="61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1.25" customHeight="1" x14ac:dyDescent="0.25">
      <c r="A718" s="3"/>
      <c r="B718" s="61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1.25" customHeight="1" x14ac:dyDescent="0.25">
      <c r="A719" s="3"/>
      <c r="B719" s="61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1.25" customHeight="1" x14ac:dyDescent="0.25">
      <c r="A720" s="3"/>
      <c r="B720" s="61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1.25" customHeight="1" x14ac:dyDescent="0.25">
      <c r="A721" s="3"/>
      <c r="B721" s="61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1.25" customHeight="1" x14ac:dyDescent="0.25">
      <c r="A722" s="3"/>
      <c r="B722" s="61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1.25" customHeight="1" x14ac:dyDescent="0.25">
      <c r="A723" s="3"/>
      <c r="B723" s="61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1.25" customHeight="1" x14ac:dyDescent="0.25">
      <c r="A724" s="3"/>
      <c r="B724" s="61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1.25" customHeight="1" x14ac:dyDescent="0.25">
      <c r="A725" s="3"/>
      <c r="B725" s="61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1.25" customHeight="1" x14ac:dyDescent="0.25">
      <c r="A726" s="3"/>
      <c r="B726" s="61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1.25" customHeight="1" x14ac:dyDescent="0.25">
      <c r="A727" s="3"/>
      <c r="B727" s="61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1.25" customHeight="1" x14ac:dyDescent="0.25">
      <c r="A728" s="3"/>
      <c r="B728" s="61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1.25" customHeight="1" x14ac:dyDescent="0.25">
      <c r="A729" s="3"/>
      <c r="B729" s="61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1.25" customHeight="1" x14ac:dyDescent="0.25">
      <c r="A730" s="3"/>
      <c r="B730" s="61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1.25" customHeight="1" x14ac:dyDescent="0.25">
      <c r="A731" s="3"/>
      <c r="B731" s="61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1.25" customHeight="1" x14ac:dyDescent="0.25">
      <c r="A732" s="3"/>
      <c r="B732" s="61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1.25" customHeight="1" x14ac:dyDescent="0.25">
      <c r="A733" s="3"/>
      <c r="B733" s="61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1.25" customHeight="1" x14ac:dyDescent="0.25">
      <c r="A734" s="3"/>
      <c r="B734" s="61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1.25" customHeight="1" x14ac:dyDescent="0.25">
      <c r="A735" s="3"/>
      <c r="B735" s="61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1.25" customHeight="1" x14ac:dyDescent="0.25">
      <c r="A736" s="3"/>
      <c r="B736" s="61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1.25" customHeight="1" x14ac:dyDescent="0.25">
      <c r="A737" s="3"/>
      <c r="B737" s="61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1.25" customHeight="1" x14ac:dyDescent="0.25">
      <c r="A738" s="3"/>
      <c r="B738" s="61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1.25" customHeight="1" x14ac:dyDescent="0.25">
      <c r="A739" s="3"/>
      <c r="B739" s="61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1.25" customHeight="1" x14ac:dyDescent="0.25">
      <c r="A740" s="3"/>
      <c r="B740" s="61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1.25" customHeight="1" x14ac:dyDescent="0.25">
      <c r="A741" s="3"/>
      <c r="B741" s="61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1.25" customHeight="1" x14ac:dyDescent="0.25">
      <c r="A742" s="3"/>
      <c r="B742" s="61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1.25" customHeight="1" x14ac:dyDescent="0.25">
      <c r="A743" s="3"/>
      <c r="B743" s="61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1.25" customHeight="1" x14ac:dyDescent="0.25">
      <c r="A744" s="3"/>
      <c r="B744" s="61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1.25" customHeight="1" x14ac:dyDescent="0.25">
      <c r="A745" s="3"/>
      <c r="B745" s="61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1.25" customHeight="1" x14ac:dyDescent="0.25">
      <c r="A746" s="3"/>
      <c r="B746" s="61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1.25" customHeight="1" x14ac:dyDescent="0.25">
      <c r="A747" s="3"/>
      <c r="B747" s="61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1.25" customHeight="1" x14ac:dyDescent="0.25">
      <c r="A748" s="3"/>
      <c r="B748" s="61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1.25" customHeight="1" x14ac:dyDescent="0.25">
      <c r="A749" s="3"/>
      <c r="B749" s="61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1.25" customHeight="1" x14ac:dyDescent="0.25">
      <c r="A750" s="3"/>
      <c r="B750" s="61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1.25" customHeight="1" x14ac:dyDescent="0.25">
      <c r="A751" s="3"/>
      <c r="B751" s="61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1.25" customHeight="1" x14ac:dyDescent="0.25">
      <c r="A752" s="3"/>
      <c r="B752" s="61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1.25" customHeight="1" x14ac:dyDescent="0.25">
      <c r="A753" s="3"/>
      <c r="B753" s="61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1.25" customHeight="1" x14ac:dyDescent="0.25">
      <c r="A754" s="3"/>
      <c r="B754" s="61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1.25" customHeight="1" x14ac:dyDescent="0.25">
      <c r="A755" s="3"/>
      <c r="B755" s="61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1.25" customHeight="1" x14ac:dyDescent="0.25">
      <c r="A756" s="3"/>
      <c r="B756" s="61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1.25" customHeight="1" x14ac:dyDescent="0.25">
      <c r="A757" s="3"/>
      <c r="B757" s="61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1.25" customHeight="1" x14ac:dyDescent="0.25">
      <c r="A758" s="3"/>
      <c r="B758" s="61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1.25" customHeight="1" x14ac:dyDescent="0.25">
      <c r="A759" s="3"/>
      <c r="B759" s="61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1.25" customHeight="1" x14ac:dyDescent="0.25">
      <c r="A760" s="3"/>
      <c r="B760" s="61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1.25" customHeight="1" x14ac:dyDescent="0.25">
      <c r="A761" s="3"/>
      <c r="B761" s="61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1.25" customHeight="1" x14ac:dyDescent="0.25">
      <c r="A762" s="3"/>
      <c r="B762" s="61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1.25" customHeight="1" x14ac:dyDescent="0.25">
      <c r="A763" s="3"/>
      <c r="B763" s="61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1.25" customHeight="1" x14ac:dyDescent="0.25">
      <c r="A764" s="3"/>
      <c r="B764" s="61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1.25" customHeight="1" x14ac:dyDescent="0.25">
      <c r="A765" s="3"/>
      <c r="B765" s="61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1.25" customHeight="1" x14ac:dyDescent="0.25">
      <c r="A766" s="3"/>
      <c r="B766" s="61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1.25" customHeight="1" x14ac:dyDescent="0.25">
      <c r="A767" s="3"/>
      <c r="B767" s="61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1.25" customHeight="1" x14ac:dyDescent="0.25">
      <c r="A768" s="3"/>
      <c r="B768" s="61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1.25" customHeight="1" x14ac:dyDescent="0.25">
      <c r="A769" s="3"/>
      <c r="B769" s="61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1.25" customHeight="1" x14ac:dyDescent="0.25">
      <c r="A770" s="3"/>
      <c r="B770" s="61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1.25" customHeight="1" x14ac:dyDescent="0.25">
      <c r="A771" s="3"/>
      <c r="B771" s="61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1.25" customHeight="1" x14ac:dyDescent="0.25">
      <c r="A772" s="3"/>
      <c r="B772" s="61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1.25" customHeight="1" x14ac:dyDescent="0.25">
      <c r="A773" s="3"/>
      <c r="B773" s="61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1.25" customHeight="1" x14ac:dyDescent="0.25">
      <c r="A774" s="3"/>
      <c r="B774" s="61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1.25" customHeight="1" x14ac:dyDescent="0.25">
      <c r="A775" s="3"/>
      <c r="B775" s="61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1.25" customHeight="1" x14ac:dyDescent="0.25">
      <c r="A776" s="3"/>
      <c r="B776" s="61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1.25" customHeight="1" x14ac:dyDescent="0.25">
      <c r="A777" s="3"/>
      <c r="B777" s="61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1.25" customHeight="1" x14ac:dyDescent="0.25">
      <c r="A778" s="3"/>
      <c r="B778" s="61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1.25" customHeight="1" x14ac:dyDescent="0.25">
      <c r="A779" s="3"/>
      <c r="B779" s="61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1.25" customHeight="1" x14ac:dyDescent="0.25">
      <c r="A780" s="3"/>
      <c r="B780" s="61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1.25" customHeight="1" x14ac:dyDescent="0.25">
      <c r="A781" s="3"/>
      <c r="B781" s="61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1.25" customHeight="1" x14ac:dyDescent="0.25">
      <c r="A782" s="3"/>
      <c r="B782" s="61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1.25" customHeight="1" x14ac:dyDescent="0.25">
      <c r="A783" s="3"/>
      <c r="B783" s="61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1.25" customHeight="1" x14ac:dyDescent="0.25">
      <c r="A784" s="3"/>
      <c r="B784" s="61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1.25" customHeight="1" x14ac:dyDescent="0.25">
      <c r="A785" s="3"/>
      <c r="B785" s="61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1.25" customHeight="1" x14ac:dyDescent="0.25">
      <c r="A786" s="3"/>
      <c r="B786" s="61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1.25" customHeight="1" x14ac:dyDescent="0.25">
      <c r="A787" s="3"/>
      <c r="B787" s="61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1.25" customHeight="1" x14ac:dyDescent="0.25">
      <c r="A788" s="3"/>
      <c r="B788" s="61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1.25" customHeight="1" x14ac:dyDescent="0.25">
      <c r="A789" s="3"/>
      <c r="B789" s="61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1.25" customHeight="1" x14ac:dyDescent="0.25">
      <c r="A790" s="3"/>
      <c r="B790" s="61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1.25" customHeight="1" x14ac:dyDescent="0.25">
      <c r="A791" s="3"/>
      <c r="B791" s="61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1.25" customHeight="1" x14ac:dyDescent="0.25">
      <c r="A792" s="3"/>
      <c r="B792" s="61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1.25" customHeight="1" x14ac:dyDescent="0.25">
      <c r="A793" s="3"/>
      <c r="B793" s="61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1.25" customHeight="1" x14ac:dyDescent="0.25">
      <c r="A794" s="3"/>
      <c r="B794" s="61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1.25" customHeight="1" x14ac:dyDescent="0.25">
      <c r="A795" s="3"/>
      <c r="B795" s="61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1.25" customHeight="1" x14ac:dyDescent="0.25">
      <c r="A796" s="3"/>
      <c r="B796" s="61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1.25" customHeight="1" x14ac:dyDescent="0.25">
      <c r="A797" s="3"/>
      <c r="B797" s="61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1.25" customHeight="1" x14ac:dyDescent="0.25">
      <c r="A798" s="3"/>
      <c r="B798" s="61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1.25" customHeight="1" x14ac:dyDescent="0.25">
      <c r="A799" s="3"/>
      <c r="B799" s="61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1.25" customHeight="1" x14ac:dyDescent="0.25">
      <c r="A800" s="3"/>
      <c r="B800" s="61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1.25" customHeight="1" x14ac:dyDescent="0.25">
      <c r="A801" s="3"/>
      <c r="B801" s="61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1.25" customHeight="1" x14ac:dyDescent="0.25">
      <c r="A802" s="3"/>
      <c r="B802" s="61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1.25" customHeight="1" x14ac:dyDescent="0.25">
      <c r="A803" s="3"/>
      <c r="B803" s="61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1.25" customHeight="1" x14ac:dyDescent="0.25">
      <c r="A804" s="3"/>
      <c r="B804" s="61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1.25" customHeight="1" x14ac:dyDescent="0.25">
      <c r="A805" s="3"/>
      <c r="B805" s="61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1.25" customHeight="1" x14ac:dyDescent="0.25">
      <c r="A806" s="3"/>
      <c r="B806" s="61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1.25" customHeight="1" x14ac:dyDescent="0.25">
      <c r="A807" s="3"/>
      <c r="B807" s="61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1.25" customHeight="1" x14ac:dyDescent="0.25">
      <c r="A808" s="3"/>
      <c r="B808" s="61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1.25" customHeight="1" x14ac:dyDescent="0.25">
      <c r="A809" s="3"/>
      <c r="B809" s="61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1.25" customHeight="1" x14ac:dyDescent="0.25">
      <c r="A810" s="3"/>
      <c r="B810" s="61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1.25" customHeight="1" x14ac:dyDescent="0.25">
      <c r="A811" s="3"/>
      <c r="B811" s="61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1.25" customHeight="1" x14ac:dyDescent="0.25">
      <c r="A812" s="3"/>
      <c r="B812" s="61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1.25" customHeight="1" x14ac:dyDescent="0.25">
      <c r="A813" s="3"/>
      <c r="B813" s="61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1.25" customHeight="1" x14ac:dyDescent="0.25">
      <c r="A814" s="3"/>
      <c r="B814" s="61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1.25" customHeight="1" x14ac:dyDescent="0.25">
      <c r="A815" s="3"/>
      <c r="B815" s="61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1.25" customHeight="1" x14ac:dyDescent="0.25">
      <c r="A816" s="3"/>
      <c r="B816" s="61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1.25" customHeight="1" x14ac:dyDescent="0.25">
      <c r="A817" s="3"/>
      <c r="B817" s="61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1.25" customHeight="1" x14ac:dyDescent="0.25">
      <c r="A818" s="3"/>
      <c r="B818" s="61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1.25" customHeight="1" x14ac:dyDescent="0.25">
      <c r="A819" s="3"/>
      <c r="B819" s="61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1.25" customHeight="1" x14ac:dyDescent="0.25">
      <c r="A820" s="3"/>
      <c r="B820" s="61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1.25" customHeight="1" x14ac:dyDescent="0.25">
      <c r="A821" s="3"/>
      <c r="B821" s="61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1.25" customHeight="1" x14ac:dyDescent="0.25">
      <c r="A822" s="3"/>
      <c r="B822" s="61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1.25" customHeight="1" x14ac:dyDescent="0.25">
      <c r="A823" s="3"/>
      <c r="B823" s="61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1.25" customHeight="1" x14ac:dyDescent="0.25">
      <c r="A824" s="3"/>
      <c r="B824" s="61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1.25" customHeight="1" x14ac:dyDescent="0.25">
      <c r="A825" s="3"/>
      <c r="B825" s="61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1.25" customHeight="1" x14ac:dyDescent="0.25">
      <c r="A826" s="3"/>
      <c r="B826" s="61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1.25" customHeight="1" x14ac:dyDescent="0.25">
      <c r="A827" s="3"/>
      <c r="B827" s="61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1.25" customHeight="1" x14ac:dyDescent="0.25">
      <c r="A828" s="3"/>
      <c r="B828" s="61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1.25" customHeight="1" x14ac:dyDescent="0.25">
      <c r="A829" s="3"/>
      <c r="B829" s="61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1.25" customHeight="1" x14ac:dyDescent="0.25">
      <c r="A830" s="3"/>
      <c r="B830" s="61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1.25" customHeight="1" x14ac:dyDescent="0.25">
      <c r="A831" s="3"/>
      <c r="B831" s="61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1.25" customHeight="1" x14ac:dyDescent="0.25">
      <c r="A832" s="3"/>
      <c r="B832" s="61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1.25" customHeight="1" x14ac:dyDescent="0.25">
      <c r="A833" s="3"/>
      <c r="B833" s="61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1.25" customHeight="1" x14ac:dyDescent="0.25">
      <c r="A834" s="3"/>
      <c r="B834" s="61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1.25" customHeight="1" x14ac:dyDescent="0.25">
      <c r="A835" s="3"/>
      <c r="B835" s="61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1.25" customHeight="1" x14ac:dyDescent="0.25">
      <c r="A836" s="3"/>
      <c r="B836" s="61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1.25" customHeight="1" x14ac:dyDescent="0.25">
      <c r="A837" s="3"/>
      <c r="B837" s="61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1.25" customHeight="1" x14ac:dyDescent="0.25">
      <c r="A838" s="3"/>
      <c r="B838" s="61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1.25" customHeight="1" x14ac:dyDescent="0.25">
      <c r="A839" s="3"/>
      <c r="B839" s="61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1.25" customHeight="1" x14ac:dyDescent="0.25">
      <c r="A840" s="3"/>
      <c r="B840" s="61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1.25" customHeight="1" x14ac:dyDescent="0.25">
      <c r="A841" s="3"/>
      <c r="B841" s="61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1.25" customHeight="1" x14ac:dyDescent="0.25">
      <c r="A842" s="3"/>
      <c r="B842" s="61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1.25" customHeight="1" x14ac:dyDescent="0.25">
      <c r="A843" s="3"/>
      <c r="B843" s="61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1.25" customHeight="1" x14ac:dyDescent="0.25">
      <c r="A844" s="3"/>
      <c r="B844" s="61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1.25" customHeight="1" x14ac:dyDescent="0.25">
      <c r="A845" s="3"/>
      <c r="B845" s="61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1.25" customHeight="1" x14ac:dyDescent="0.25">
      <c r="A846" s="3"/>
      <c r="B846" s="61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1.25" customHeight="1" x14ac:dyDescent="0.25">
      <c r="A847" s="3"/>
      <c r="B847" s="61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1.25" customHeight="1" x14ac:dyDescent="0.25">
      <c r="A848" s="3"/>
      <c r="B848" s="61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1.25" customHeight="1" x14ac:dyDescent="0.25">
      <c r="A849" s="3"/>
      <c r="B849" s="61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1.25" customHeight="1" x14ac:dyDescent="0.25">
      <c r="A850" s="3"/>
      <c r="B850" s="61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1.25" customHeight="1" x14ac:dyDescent="0.25">
      <c r="A851" s="3"/>
      <c r="B851" s="61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1.25" customHeight="1" x14ac:dyDescent="0.25">
      <c r="A852" s="3"/>
      <c r="B852" s="61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1.25" customHeight="1" x14ac:dyDescent="0.25">
      <c r="A853" s="3"/>
      <c r="B853" s="61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1.25" customHeight="1" x14ac:dyDescent="0.25">
      <c r="A854" s="3"/>
      <c r="B854" s="61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1.25" customHeight="1" x14ac:dyDescent="0.25">
      <c r="A855" s="3"/>
      <c r="B855" s="61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1.25" customHeight="1" x14ac:dyDescent="0.25">
      <c r="A856" s="3"/>
      <c r="B856" s="61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1.25" customHeight="1" x14ac:dyDescent="0.25">
      <c r="A857" s="3"/>
      <c r="B857" s="61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1.25" customHeight="1" x14ac:dyDescent="0.25">
      <c r="A858" s="3"/>
      <c r="B858" s="61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1.25" customHeight="1" x14ac:dyDescent="0.25">
      <c r="A859" s="3"/>
      <c r="B859" s="61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1.25" customHeight="1" x14ac:dyDescent="0.25">
      <c r="A860" s="3"/>
      <c r="B860" s="61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1.25" customHeight="1" x14ac:dyDescent="0.25">
      <c r="A861" s="3"/>
      <c r="B861" s="61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1.25" customHeight="1" x14ac:dyDescent="0.25">
      <c r="A862" s="3"/>
      <c r="B862" s="61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1.25" customHeight="1" x14ac:dyDescent="0.25">
      <c r="A863" s="3"/>
      <c r="B863" s="61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1.25" customHeight="1" x14ac:dyDescent="0.25">
      <c r="A864" s="3"/>
      <c r="B864" s="61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1.25" customHeight="1" x14ac:dyDescent="0.25">
      <c r="A865" s="3"/>
      <c r="B865" s="61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1.25" customHeight="1" x14ac:dyDescent="0.25">
      <c r="A866" s="3"/>
      <c r="B866" s="61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1.25" customHeight="1" x14ac:dyDescent="0.25">
      <c r="A867" s="3"/>
      <c r="B867" s="61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1.25" customHeight="1" x14ac:dyDescent="0.25">
      <c r="A868" s="3"/>
      <c r="B868" s="61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1.25" customHeight="1" x14ac:dyDescent="0.25">
      <c r="A869" s="3"/>
      <c r="B869" s="61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1.25" customHeight="1" x14ac:dyDescent="0.25">
      <c r="A870" s="3"/>
      <c r="B870" s="61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1.25" customHeight="1" x14ac:dyDescent="0.25">
      <c r="A871" s="3"/>
      <c r="B871" s="61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1.25" customHeight="1" x14ac:dyDescent="0.25">
      <c r="A872" s="3"/>
      <c r="B872" s="61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1.25" customHeight="1" x14ac:dyDescent="0.25">
      <c r="A873" s="3"/>
      <c r="B873" s="61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1.25" customHeight="1" x14ac:dyDescent="0.25">
      <c r="A874" s="3"/>
      <c r="B874" s="61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1.25" customHeight="1" x14ac:dyDescent="0.25">
      <c r="A875" s="3"/>
      <c r="B875" s="61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1.25" customHeight="1" x14ac:dyDescent="0.25">
      <c r="A876" s="3"/>
      <c r="B876" s="61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1.25" customHeight="1" x14ac:dyDescent="0.25">
      <c r="A877" s="3"/>
      <c r="B877" s="61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1.25" customHeight="1" x14ac:dyDescent="0.25">
      <c r="A878" s="3"/>
      <c r="B878" s="61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1.25" customHeight="1" x14ac:dyDescent="0.25">
      <c r="A879" s="3"/>
      <c r="B879" s="61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1.25" customHeight="1" x14ac:dyDescent="0.25">
      <c r="A880" s="3"/>
      <c r="B880" s="61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1.25" customHeight="1" x14ac:dyDescent="0.25">
      <c r="A881" s="3"/>
      <c r="B881" s="61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1.25" customHeight="1" x14ac:dyDescent="0.25">
      <c r="A882" s="3"/>
      <c r="B882" s="61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1.25" customHeight="1" x14ac:dyDescent="0.25">
      <c r="A883" s="3"/>
      <c r="B883" s="61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1.25" customHeight="1" x14ac:dyDescent="0.25">
      <c r="A884" s="3"/>
      <c r="B884" s="61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1.25" customHeight="1" x14ac:dyDescent="0.25">
      <c r="A885" s="3"/>
      <c r="B885" s="61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1.25" customHeight="1" x14ac:dyDescent="0.25">
      <c r="A886" s="3"/>
      <c r="B886" s="61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1.25" customHeight="1" x14ac:dyDescent="0.25">
      <c r="A887" s="3"/>
      <c r="B887" s="61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1.25" customHeight="1" x14ac:dyDescent="0.25">
      <c r="A888" s="3"/>
      <c r="B888" s="61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1.25" customHeight="1" x14ac:dyDescent="0.25">
      <c r="A889" s="3"/>
      <c r="B889" s="61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1.25" customHeight="1" x14ac:dyDescent="0.25">
      <c r="A890" s="3"/>
      <c r="B890" s="61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1.25" customHeight="1" x14ac:dyDescent="0.25">
      <c r="A891" s="3"/>
      <c r="B891" s="61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1.25" customHeight="1" x14ac:dyDescent="0.25">
      <c r="A892" s="3"/>
      <c r="B892" s="61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1.25" customHeight="1" x14ac:dyDescent="0.25">
      <c r="A893" s="3"/>
      <c r="B893" s="61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1.25" customHeight="1" x14ac:dyDescent="0.25">
      <c r="A894" s="3"/>
      <c r="B894" s="61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1.25" customHeight="1" x14ac:dyDescent="0.25">
      <c r="A895" s="3"/>
      <c r="B895" s="61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1.25" customHeight="1" x14ac:dyDescent="0.25">
      <c r="A896" s="3"/>
      <c r="B896" s="61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1.25" customHeight="1" x14ac:dyDescent="0.25">
      <c r="A897" s="3"/>
      <c r="B897" s="61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1.25" customHeight="1" x14ac:dyDescent="0.25">
      <c r="A898" s="3"/>
      <c r="B898" s="61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1.25" customHeight="1" x14ac:dyDescent="0.25">
      <c r="A899" s="3"/>
      <c r="B899" s="61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1.25" customHeight="1" x14ac:dyDescent="0.25">
      <c r="A900" s="3"/>
      <c r="B900" s="61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1.25" customHeight="1" x14ac:dyDescent="0.25">
      <c r="A901" s="3"/>
      <c r="B901" s="61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1.25" customHeight="1" x14ac:dyDescent="0.25">
      <c r="A902" s="3"/>
      <c r="B902" s="61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1.25" customHeight="1" x14ac:dyDescent="0.25">
      <c r="A903" s="3"/>
      <c r="B903" s="61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1.25" customHeight="1" x14ac:dyDescent="0.25">
      <c r="A904" s="3"/>
      <c r="B904" s="61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1.25" customHeight="1" x14ac:dyDescent="0.25">
      <c r="A905" s="3"/>
      <c r="B905" s="61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1.25" customHeight="1" x14ac:dyDescent="0.25">
      <c r="A906" s="3"/>
      <c r="B906" s="61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1.25" customHeight="1" x14ac:dyDescent="0.25">
      <c r="A907" s="3"/>
      <c r="B907" s="61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1.25" customHeight="1" x14ac:dyDescent="0.25">
      <c r="A908" s="3"/>
      <c r="B908" s="61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1.25" customHeight="1" x14ac:dyDescent="0.25">
      <c r="A909" s="3"/>
      <c r="B909" s="61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1.25" customHeight="1" x14ac:dyDescent="0.25">
      <c r="A910" s="3"/>
      <c r="B910" s="61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1.25" customHeight="1" x14ac:dyDescent="0.25">
      <c r="A911" s="3"/>
      <c r="B911" s="61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1.25" customHeight="1" x14ac:dyDescent="0.25">
      <c r="A912" s="3"/>
      <c r="B912" s="61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1.25" customHeight="1" x14ac:dyDescent="0.25">
      <c r="A913" s="3"/>
      <c r="B913" s="61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1.25" customHeight="1" x14ac:dyDescent="0.25">
      <c r="A914" s="3"/>
      <c r="B914" s="61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1.25" customHeight="1" x14ac:dyDescent="0.25">
      <c r="A915" s="3"/>
      <c r="B915" s="61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1.25" customHeight="1" x14ac:dyDescent="0.25">
      <c r="A916" s="3"/>
      <c r="B916" s="61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1.25" customHeight="1" x14ac:dyDescent="0.25">
      <c r="A917" s="3"/>
      <c r="B917" s="61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1.25" customHeight="1" x14ac:dyDescent="0.25">
      <c r="A918" s="3"/>
      <c r="B918" s="61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1.25" customHeight="1" x14ac:dyDescent="0.25">
      <c r="A919" s="3"/>
      <c r="B919" s="61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1.25" customHeight="1" x14ac:dyDescent="0.25">
      <c r="A920" s="3"/>
      <c r="B920" s="61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1.25" customHeight="1" x14ac:dyDescent="0.25">
      <c r="A921" s="3"/>
      <c r="B921" s="61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1.25" customHeight="1" x14ac:dyDescent="0.25">
      <c r="A922" s="3"/>
      <c r="B922" s="61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1.25" customHeight="1" x14ac:dyDescent="0.25">
      <c r="A923" s="3"/>
      <c r="B923" s="61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1.25" customHeight="1" x14ac:dyDescent="0.25">
      <c r="A924" s="3"/>
      <c r="B924" s="61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1.25" customHeight="1" x14ac:dyDescent="0.25">
      <c r="A925" s="3"/>
      <c r="B925" s="61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1.25" customHeight="1" x14ac:dyDescent="0.25">
      <c r="A926" s="3"/>
      <c r="B926" s="61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1.25" customHeight="1" x14ac:dyDescent="0.25">
      <c r="A927" s="3"/>
      <c r="B927" s="61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1.25" customHeight="1" x14ac:dyDescent="0.25">
      <c r="A928" s="3"/>
      <c r="B928" s="61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1.25" customHeight="1" x14ac:dyDescent="0.25">
      <c r="A929" s="3"/>
      <c r="B929" s="61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1.25" customHeight="1" x14ac:dyDescent="0.25">
      <c r="A930" s="3"/>
      <c r="B930" s="61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1.25" customHeight="1" x14ac:dyDescent="0.25">
      <c r="A931" s="3"/>
      <c r="B931" s="61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1.25" customHeight="1" x14ac:dyDescent="0.25">
      <c r="A932" s="3"/>
      <c r="B932" s="61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1.25" customHeight="1" x14ac:dyDescent="0.25">
      <c r="A933" s="3"/>
      <c r="B933" s="61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1.25" customHeight="1" x14ac:dyDescent="0.25">
      <c r="A934" s="3"/>
      <c r="B934" s="61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1.25" customHeight="1" x14ac:dyDescent="0.25">
      <c r="A935" s="3"/>
      <c r="B935" s="61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1.25" customHeight="1" x14ac:dyDescent="0.25">
      <c r="A936" s="3"/>
      <c r="B936" s="61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1.25" customHeight="1" x14ac:dyDescent="0.25">
      <c r="A937" s="3"/>
      <c r="B937" s="61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1.25" customHeight="1" x14ac:dyDescent="0.25">
      <c r="A938" s="3"/>
      <c r="B938" s="61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1.25" customHeight="1" x14ac:dyDescent="0.25">
      <c r="A939" s="3"/>
      <c r="B939" s="61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1.25" customHeight="1" x14ac:dyDescent="0.25">
      <c r="A940" s="3"/>
      <c r="B940" s="61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1.25" customHeight="1" x14ac:dyDescent="0.25">
      <c r="A941" s="3"/>
      <c r="B941" s="61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1.25" customHeight="1" x14ac:dyDescent="0.25">
      <c r="A942" s="3"/>
      <c r="B942" s="61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1.25" customHeight="1" x14ac:dyDescent="0.25">
      <c r="A943" s="3"/>
      <c r="B943" s="61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1.25" customHeight="1" x14ac:dyDescent="0.25">
      <c r="A944" s="3"/>
      <c r="B944" s="61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1.25" customHeight="1" x14ac:dyDescent="0.25">
      <c r="A945" s="3"/>
      <c r="B945" s="61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1.25" customHeight="1" x14ac:dyDescent="0.25">
      <c r="A946" s="3"/>
      <c r="B946" s="61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1.25" customHeight="1" x14ac:dyDescent="0.25">
      <c r="A947" s="3"/>
      <c r="B947" s="61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1.25" customHeight="1" x14ac:dyDescent="0.25">
      <c r="A948" s="3"/>
      <c r="B948" s="61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1.25" customHeight="1" x14ac:dyDescent="0.25">
      <c r="A949" s="3"/>
      <c r="B949" s="61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1.25" customHeight="1" x14ac:dyDescent="0.25">
      <c r="A950" s="3"/>
      <c r="B950" s="61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1.25" customHeight="1" x14ac:dyDescent="0.25">
      <c r="A951" s="3"/>
      <c r="B951" s="61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1.25" customHeight="1" x14ac:dyDescent="0.25">
      <c r="A952" s="3"/>
      <c r="B952" s="61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1.25" customHeight="1" x14ac:dyDescent="0.25">
      <c r="A953" s="3"/>
      <c r="B953" s="61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1.25" customHeight="1" x14ac:dyDescent="0.25">
      <c r="A954" s="3"/>
      <c r="B954" s="61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1.25" customHeight="1" x14ac:dyDescent="0.25">
      <c r="A955" s="3"/>
      <c r="B955" s="61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1.25" customHeight="1" x14ac:dyDescent="0.25">
      <c r="A956" s="3"/>
      <c r="B956" s="61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1.25" customHeight="1" x14ac:dyDescent="0.25">
      <c r="A957" s="3"/>
      <c r="B957" s="61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1.25" customHeight="1" x14ac:dyDescent="0.25">
      <c r="A958" s="3"/>
      <c r="B958" s="61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1.25" customHeight="1" x14ac:dyDescent="0.25">
      <c r="A959" s="3"/>
      <c r="B959" s="61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1.25" customHeight="1" x14ac:dyDescent="0.25">
      <c r="A960" s="3"/>
      <c r="B960" s="61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1.25" customHeight="1" x14ac:dyDescent="0.25">
      <c r="A961" s="3"/>
      <c r="B961" s="61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1.25" customHeight="1" x14ac:dyDescent="0.25">
      <c r="A962" s="3"/>
      <c r="B962" s="61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1.25" customHeight="1" x14ac:dyDescent="0.25">
      <c r="A963" s="3"/>
      <c r="B963" s="61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1.25" customHeight="1" x14ac:dyDescent="0.25">
      <c r="A964" s="3"/>
      <c r="B964" s="61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1.25" customHeight="1" x14ac:dyDescent="0.25">
      <c r="A965" s="3"/>
      <c r="B965" s="61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1.25" customHeight="1" x14ac:dyDescent="0.25">
      <c r="A966" s="3"/>
      <c r="B966" s="61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1.25" customHeight="1" x14ac:dyDescent="0.25">
      <c r="A967" s="3"/>
      <c r="B967" s="61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1.25" customHeight="1" x14ac:dyDescent="0.25">
      <c r="A968" s="3"/>
      <c r="B968" s="61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1.25" customHeight="1" x14ac:dyDescent="0.25">
      <c r="A969" s="3"/>
      <c r="B969" s="61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1.25" customHeight="1" x14ac:dyDescent="0.25">
      <c r="A970" s="3"/>
      <c r="B970" s="61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1.25" customHeight="1" x14ac:dyDescent="0.25">
      <c r="A971" s="3"/>
      <c r="B971" s="61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1.25" customHeight="1" x14ac:dyDescent="0.25">
      <c r="A972" s="3"/>
      <c r="B972" s="61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1.25" customHeight="1" x14ac:dyDescent="0.25">
      <c r="A973" s="3"/>
      <c r="B973" s="61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1.25" customHeight="1" x14ac:dyDescent="0.25">
      <c r="A974" s="3"/>
      <c r="B974" s="61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1.25" customHeight="1" x14ac:dyDescent="0.25">
      <c r="A975" s="3"/>
      <c r="B975" s="61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1.25" customHeight="1" x14ac:dyDescent="0.25">
      <c r="A976" s="3"/>
      <c r="B976" s="61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1.25" customHeight="1" x14ac:dyDescent="0.25">
      <c r="A977" s="3"/>
      <c r="B977" s="61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1.25" customHeight="1" x14ac:dyDescent="0.25">
      <c r="A978" s="3"/>
      <c r="B978" s="61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1.25" customHeight="1" x14ac:dyDescent="0.25">
      <c r="A979" s="3"/>
      <c r="B979" s="61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1.25" customHeight="1" x14ac:dyDescent="0.25">
      <c r="A980" s="3"/>
      <c r="B980" s="61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1.25" customHeight="1" x14ac:dyDescent="0.25">
      <c r="A981" s="3"/>
      <c r="B981" s="61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1.25" customHeight="1" x14ac:dyDescent="0.25">
      <c r="A982" s="3"/>
      <c r="B982" s="61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1.25" customHeight="1" x14ac:dyDescent="0.25">
      <c r="A983" s="3"/>
      <c r="B983" s="61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1.25" customHeight="1" x14ac:dyDescent="0.25">
      <c r="A984" s="3"/>
      <c r="B984" s="61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1.25" customHeight="1" x14ac:dyDescent="0.25">
      <c r="A985" s="3"/>
      <c r="B985" s="61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1.25" customHeight="1" x14ac:dyDescent="0.25">
      <c r="A986" s="3"/>
      <c r="B986" s="61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1.25" customHeight="1" x14ac:dyDescent="0.25">
      <c r="A987" s="3"/>
      <c r="B987" s="61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1.25" customHeight="1" x14ac:dyDescent="0.25">
      <c r="A988" s="3"/>
      <c r="B988" s="61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1.25" customHeight="1" x14ac:dyDescent="0.25">
      <c r="A989" s="3"/>
      <c r="B989" s="61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1.25" customHeight="1" x14ac:dyDescent="0.25">
      <c r="A990" s="3"/>
      <c r="B990" s="61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1.25" customHeight="1" x14ac:dyDescent="0.25">
      <c r="A991" s="3"/>
      <c r="B991" s="61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1.25" customHeight="1" x14ac:dyDescent="0.25">
      <c r="A992" s="3"/>
      <c r="B992" s="61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1.25" customHeight="1" x14ac:dyDescent="0.25">
      <c r="A993" s="3"/>
      <c r="B993" s="61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1.25" customHeight="1" x14ac:dyDescent="0.25">
      <c r="A994" s="3"/>
      <c r="B994" s="61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1.25" customHeight="1" x14ac:dyDescent="0.25">
      <c r="A995" s="3"/>
      <c r="B995" s="61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1.25" customHeight="1" x14ac:dyDescent="0.25">
      <c r="A996" s="3"/>
      <c r="B996" s="61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1.25" customHeight="1" x14ac:dyDescent="0.25">
      <c r="A997" s="3"/>
      <c r="B997" s="61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1.25" customHeight="1" x14ac:dyDescent="0.25">
      <c r="A998" s="3"/>
      <c r="B998" s="61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1.25" customHeight="1" x14ac:dyDescent="0.25">
      <c r="A999" s="3"/>
      <c r="B999" s="61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1.25" customHeight="1" x14ac:dyDescent="0.25">
      <c r="A1000" s="3"/>
      <c r="B1000" s="61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 spans="1:26" ht="11.25" customHeight="1" x14ac:dyDescent="0.25">
      <c r="A1001" s="3"/>
      <c r="B1001" s="61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 spans="1:26" ht="11.25" customHeight="1" x14ac:dyDescent="0.25">
      <c r="A1002" s="3"/>
      <c r="B1002" s="61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999"/>
  <sheetViews>
    <sheetView showGridLines="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baseColWidth="10" defaultColWidth="12.5703125" defaultRowHeight="15" customHeight="1" x14ac:dyDescent="0.25"/>
  <cols>
    <col min="1" max="1" width="55.28515625" bestFit="1" customWidth="1"/>
    <col min="2" max="9" width="6.140625" bestFit="1" customWidth="1"/>
    <col min="10" max="15" width="11.42578125" customWidth="1"/>
    <col min="16" max="26" width="10.5703125" customWidth="1"/>
  </cols>
  <sheetData>
    <row r="1" spans="1:26" ht="11.25" customHeight="1" x14ac:dyDescent="0.25">
      <c r="A1" s="1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1.25" customHeight="1" x14ac:dyDescent="0.25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1.25" customHeight="1" x14ac:dyDescent="0.25">
      <c r="A3" s="4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1.25" customHeight="1" x14ac:dyDescent="0.2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1.25" customHeight="1" x14ac:dyDescent="0.25">
      <c r="A5" s="44" t="s">
        <v>150</v>
      </c>
      <c r="B5" s="63" t="s">
        <v>4</v>
      </c>
      <c r="C5" s="63" t="s">
        <v>5</v>
      </c>
      <c r="D5" s="63" t="s">
        <v>6</v>
      </c>
      <c r="E5" s="63" t="s">
        <v>7</v>
      </c>
      <c r="F5" s="63" t="s">
        <v>8</v>
      </c>
      <c r="G5" s="63" t="s">
        <v>9</v>
      </c>
      <c r="H5" s="63" t="s">
        <v>10</v>
      </c>
      <c r="I5" s="63" t="s">
        <v>11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1.25" customHeight="1" x14ac:dyDescent="0.25">
      <c r="A6" s="75" t="s">
        <v>151</v>
      </c>
      <c r="B6" s="20"/>
      <c r="C6" s="20"/>
      <c r="D6" s="20"/>
      <c r="E6" s="20"/>
      <c r="F6" s="20"/>
      <c r="G6" s="20"/>
      <c r="H6" s="20"/>
      <c r="I6" s="20"/>
      <c r="J6" s="65"/>
      <c r="K6" s="65"/>
      <c r="L6" s="65"/>
      <c r="M6" s="65"/>
      <c r="N6" s="65"/>
      <c r="O6" s="65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1.25" customHeight="1" x14ac:dyDescent="0.25">
      <c r="A7" s="3" t="s">
        <v>115</v>
      </c>
      <c r="B7" s="27">
        <f>'Income Statement'!B18</f>
        <v>2846</v>
      </c>
      <c r="C7" s="27">
        <f>'Income Statement'!C18</f>
        <v>2746</v>
      </c>
      <c r="D7" s="27">
        <f>'Income Statement'!D18</f>
        <v>-5848</v>
      </c>
      <c r="E7" s="27">
        <f>'Income Statement'!E18</f>
        <v>2898.4313784108272</v>
      </c>
      <c r="F7" s="27">
        <f>'Income Statement'!F18</f>
        <v>2906.4738645007915</v>
      </c>
      <c r="G7" s="27">
        <f>'Income Statement'!G18</f>
        <v>2914.6489641542125</v>
      </c>
      <c r="H7" s="27">
        <f>'Income Statement'!H18</f>
        <v>2922.9590138972999</v>
      </c>
      <c r="I7" s="27">
        <f>'Income Statement'!I18</f>
        <v>2931.4063916056757</v>
      </c>
      <c r="J7" s="65"/>
      <c r="K7" s="65"/>
      <c r="L7" s="65"/>
      <c r="M7" s="65"/>
      <c r="N7" s="65"/>
      <c r="O7" s="65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1.25" customHeight="1" x14ac:dyDescent="0.25">
      <c r="A8" s="4" t="s">
        <v>152</v>
      </c>
      <c r="B8" s="20"/>
      <c r="C8" s="20"/>
      <c r="D8" s="20"/>
      <c r="E8" s="20"/>
      <c r="F8" s="20"/>
      <c r="G8" s="20"/>
      <c r="H8" s="20"/>
      <c r="I8" s="20"/>
      <c r="J8" s="65"/>
      <c r="K8" s="65"/>
      <c r="L8" s="65"/>
      <c r="M8" s="65"/>
      <c r="N8" s="65"/>
      <c r="O8" s="65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1.25" customHeight="1" x14ac:dyDescent="0.25">
      <c r="A9" s="3" t="s">
        <v>48</v>
      </c>
      <c r="B9" s="19">
        <v>961</v>
      </c>
      <c r="C9" s="19">
        <v>948</v>
      </c>
      <c r="D9" s="19">
        <v>968</v>
      </c>
      <c r="E9" s="27">
        <f>Schedules!E77</f>
        <v>929.53317637797943</v>
      </c>
      <c r="F9" s="27">
        <f>Schedules!F77</f>
        <v>931.56953381068286</v>
      </c>
      <c r="G9" s="27">
        <f>Schedules!G77</f>
        <v>933.63946899690802</v>
      </c>
      <c r="H9" s="27">
        <f>Schedules!H77</f>
        <v>935.74357354507652</v>
      </c>
      <c r="I9" s="27">
        <f>Schedules!I77</f>
        <v>937.88244953328251</v>
      </c>
      <c r="J9" s="65"/>
      <c r="K9" s="65"/>
      <c r="L9" s="65"/>
      <c r="M9" s="65"/>
      <c r="N9" s="65"/>
      <c r="O9" s="65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1.25" customHeight="1" x14ac:dyDescent="0.25">
      <c r="A10" s="3" t="s">
        <v>82</v>
      </c>
      <c r="B10" s="27">
        <f>SUM(Schedules!B125:B132)</f>
        <v>975</v>
      </c>
      <c r="C10" s="27">
        <f>SUM(Schedules!C125:C132)</f>
        <v>1079</v>
      </c>
      <c r="D10" s="27">
        <f>SUM(Schedules!D125:D132)</f>
        <v>9112</v>
      </c>
      <c r="E10" s="27">
        <f>SUM(Schedules!E125:E132)</f>
        <v>0</v>
      </c>
      <c r="F10" s="27">
        <f>SUM(Schedules!F125:F132)</f>
        <v>0</v>
      </c>
      <c r="G10" s="27">
        <f>SUM(Schedules!G125:G132)</f>
        <v>0</v>
      </c>
      <c r="H10" s="27">
        <f>SUM(Schedules!H125:H132)</f>
        <v>0</v>
      </c>
      <c r="I10" s="27">
        <f>SUM(Schedules!I125:I132)</f>
        <v>0</v>
      </c>
      <c r="J10" s="65"/>
      <c r="K10" s="65"/>
      <c r="L10" s="65"/>
      <c r="M10" s="65"/>
      <c r="N10" s="65"/>
      <c r="O10" s="65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1.25" customHeight="1" x14ac:dyDescent="0.25">
      <c r="A11" s="4" t="s">
        <v>153</v>
      </c>
      <c r="B11" s="20"/>
      <c r="C11" s="20"/>
      <c r="D11" s="20"/>
      <c r="E11" s="20"/>
      <c r="F11" s="20"/>
      <c r="G11" s="20"/>
      <c r="H11" s="20"/>
      <c r="I11" s="20"/>
      <c r="J11" s="65"/>
      <c r="K11" s="65"/>
      <c r="L11" s="65"/>
      <c r="M11" s="65"/>
      <c r="N11" s="65"/>
      <c r="O11" s="65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1.25" customHeight="1" x14ac:dyDescent="0.25">
      <c r="A12" s="3" t="s">
        <v>34</v>
      </c>
      <c r="B12" s="19">
        <v>18</v>
      </c>
      <c r="C12" s="19">
        <v>-139</v>
      </c>
      <c r="D12" s="19">
        <v>-55</v>
      </c>
      <c r="E12" s="27">
        <f>'Balance Sheet'!D8-'Balance Sheet'!E8</f>
        <v>-4.8683887237057206</v>
      </c>
      <c r="F12" s="27">
        <f>'Balance Sheet'!E8-'Balance Sheet'!F8</f>
        <v>-4.9485737032000543</v>
      </c>
      <c r="G12" s="27">
        <f>'Balance Sheet'!F8-'Balance Sheet'!G8</f>
        <v>-5.0301713566486796</v>
      </c>
      <c r="H12" s="27">
        <f>'Balance Sheet'!G8-'Balance Sheet'!H8</f>
        <v>-5.1132066839695653</v>
      </c>
      <c r="I12" s="27">
        <f>'Balance Sheet'!H8-'Balance Sheet'!I8</f>
        <v>-5.1977051276267048</v>
      </c>
      <c r="J12" s="65"/>
      <c r="K12" s="65"/>
      <c r="L12" s="65"/>
      <c r="M12" s="65"/>
      <c r="N12" s="65"/>
      <c r="O12" s="65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1.25" customHeight="1" x14ac:dyDescent="0.25">
      <c r="A13" s="3" t="s">
        <v>36</v>
      </c>
      <c r="B13" s="19">
        <v>-106</v>
      </c>
      <c r="C13" s="19">
        <v>-6</v>
      </c>
      <c r="D13" s="19">
        <v>133</v>
      </c>
      <c r="E13" s="27">
        <f>'Balance Sheet'!D9-'Balance Sheet'!E9</f>
        <v>-6.8403669423141764</v>
      </c>
      <c r="F13" s="27">
        <f>'Balance Sheet'!E9-'Balance Sheet'!F9</f>
        <v>-6.9530314631920191</v>
      </c>
      <c r="G13" s="27">
        <f>'Balance Sheet'!F9-'Balance Sheet'!G9</f>
        <v>-7.0676808724520015</v>
      </c>
      <c r="H13" s="27">
        <f>'Balance Sheet'!G9-'Balance Sheet'!H9</f>
        <v>-7.1843502964202344</v>
      </c>
      <c r="I13" s="27">
        <f>'Balance Sheet'!H9-'Balance Sheet'!I9</f>
        <v>-7.3030754832266211</v>
      </c>
      <c r="J13" s="65"/>
      <c r="K13" s="65"/>
      <c r="L13" s="65"/>
      <c r="M13" s="65"/>
      <c r="N13" s="65"/>
      <c r="O13" s="65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1.25" customHeight="1" x14ac:dyDescent="0.25">
      <c r="A14" s="3" t="s">
        <v>38</v>
      </c>
      <c r="B14" s="19">
        <v>-295</v>
      </c>
      <c r="C14" s="19">
        <v>-308</v>
      </c>
      <c r="D14" s="19">
        <v>-97</v>
      </c>
      <c r="E14" s="27">
        <f>'Balance Sheet'!E23-'Balance Sheet'!D23</f>
        <v>9.3047997434450735</v>
      </c>
      <c r="F14" s="27">
        <f>'Balance Sheet'!F23-'Balance Sheet'!E23</f>
        <v>9.4580547974201181</v>
      </c>
      <c r="G14" s="27">
        <f>'Balance Sheet'!G23-'Balance Sheet'!F23</f>
        <v>9.6140098511277756</v>
      </c>
      <c r="H14" s="27">
        <f>'Balance Sheet'!H23-'Balance Sheet'!G23</f>
        <v>9.7727126861318538</v>
      </c>
      <c r="I14" s="27">
        <f>'Balance Sheet'!I23-'Balance Sheet'!H23</f>
        <v>9.9342119298198668</v>
      </c>
      <c r="J14" s="65"/>
      <c r="K14" s="65"/>
      <c r="L14" s="65"/>
      <c r="M14" s="65"/>
      <c r="N14" s="65"/>
      <c r="O14" s="65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1.25" customHeight="1" x14ac:dyDescent="0.25">
      <c r="A15" s="3" t="s">
        <v>41</v>
      </c>
      <c r="B15" s="14">
        <v>0</v>
      </c>
      <c r="C15" s="14">
        <v>0</v>
      </c>
      <c r="D15" s="14">
        <v>0</v>
      </c>
      <c r="E15" s="27">
        <f>'Balance Sheet'!D10-'Balance Sheet'!E10</f>
        <v>41.221632162013464</v>
      </c>
      <c r="F15" s="27">
        <f>'Balance Sheet'!E10-'Balance Sheet'!F10</f>
        <v>-0.54719729085664426</v>
      </c>
      <c r="G15" s="27">
        <f>'Balance Sheet'!F10-'Balance Sheet'!G10</f>
        <v>-0.55622009572633146</v>
      </c>
      <c r="H15" s="27">
        <f>'Balance Sheet'!G10-'Balance Sheet'!H10</f>
        <v>-0.56540187392761254</v>
      </c>
      <c r="I15" s="27">
        <f>'Balance Sheet'!H10-'Balance Sheet'!I10</f>
        <v>-0.57474543880587703</v>
      </c>
      <c r="J15" s="65"/>
      <c r="K15" s="65"/>
      <c r="L15" s="65"/>
      <c r="M15" s="65"/>
      <c r="N15" s="65"/>
      <c r="O15" s="65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1.25" customHeight="1" x14ac:dyDescent="0.25">
      <c r="A16" s="3" t="s">
        <v>130</v>
      </c>
      <c r="B16" s="14">
        <v>0</v>
      </c>
      <c r="C16" s="14">
        <v>0</v>
      </c>
      <c r="D16" s="14">
        <v>0</v>
      </c>
      <c r="E16" s="27">
        <f>'Balance Sheet'!E24-'Balance Sheet'!D24</f>
        <v>-62.597845909804505</v>
      </c>
      <c r="F16" s="27">
        <f>'Balance Sheet'!F24-'Balance Sheet'!E24</f>
        <v>1.6176407179622174</v>
      </c>
      <c r="G16" s="27">
        <f>'Balance Sheet'!G24-'Balance Sheet'!F24</f>
        <v>1.6443141989741434</v>
      </c>
      <c r="H16" s="27">
        <f>'Balance Sheet'!H24-'Balance Sheet'!G24</f>
        <v>1.6714576416223963</v>
      </c>
      <c r="I16" s="27">
        <f>'Balance Sheet'!I24-'Balance Sheet'!H24</f>
        <v>1.6990793628015126</v>
      </c>
      <c r="J16" s="65"/>
      <c r="K16" s="65"/>
      <c r="L16" s="65"/>
      <c r="M16" s="65"/>
      <c r="N16" s="65"/>
      <c r="O16" s="65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1.25" customHeight="1" x14ac:dyDescent="0.25">
      <c r="A17" s="3" t="s">
        <v>91</v>
      </c>
      <c r="B17" s="58">
        <f>SUM(Schedules!B135:B136)</f>
        <v>-423</v>
      </c>
      <c r="C17" s="58">
        <f>SUM(Schedules!C135:C136)</f>
        <v>-136</v>
      </c>
      <c r="D17" s="58">
        <f>SUM(Schedules!D135:D136)</f>
        <v>249</v>
      </c>
      <c r="E17" s="58">
        <f>SUM(Schedules!E135:E136)+('Balance Sheet'!E25-'Balance Sheet'!D25)+'Balance Sheet'!E27-'Balance Sheet'!D27</f>
        <v>-11.071391938611896</v>
      </c>
      <c r="F17" s="58">
        <f>SUM(Schedules!F135:F136) + ('Balance Sheet'!F25-'Balance Sheet'!E25)</f>
        <v>0</v>
      </c>
      <c r="G17" s="58">
        <f>SUM(Schedules!G135:G136) + ('Balance Sheet'!G25-'Balance Sheet'!F25)</f>
        <v>0</v>
      </c>
      <c r="H17" s="58">
        <f>SUM(Schedules!H135:H136) + ('Balance Sheet'!H25-'Balance Sheet'!G25)</f>
        <v>0</v>
      </c>
      <c r="I17" s="58">
        <f>SUM(Schedules!I135:I136) + ('Balance Sheet'!I25-'Balance Sheet'!H25)</f>
        <v>0</v>
      </c>
      <c r="J17" s="65"/>
      <c r="K17" s="65"/>
      <c r="L17" s="65"/>
      <c r="M17" s="65"/>
      <c r="N17" s="65"/>
      <c r="O17" s="65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1.25" customHeight="1" x14ac:dyDescent="0.25">
      <c r="A18" s="1" t="s">
        <v>154</v>
      </c>
      <c r="B18" s="20">
        <f t="shared" ref="B18:I18" si="0">SUM(B7,B9:B10,B12:B17)</f>
        <v>3976</v>
      </c>
      <c r="C18" s="20">
        <f t="shared" si="0"/>
        <v>4184</v>
      </c>
      <c r="D18" s="20">
        <f t="shared" si="0"/>
        <v>4462</v>
      </c>
      <c r="E18" s="20">
        <f t="shared" si="0"/>
        <v>3793.1129931798287</v>
      </c>
      <c r="F18" s="20">
        <f t="shared" si="0"/>
        <v>3836.6702913696081</v>
      </c>
      <c r="G18" s="20">
        <f t="shared" si="0"/>
        <v>3846.8926848763949</v>
      </c>
      <c r="H18" s="20">
        <f t="shared" si="0"/>
        <v>3857.2837989158133</v>
      </c>
      <c r="I18" s="20">
        <f t="shared" si="0"/>
        <v>3867.8466063819201</v>
      </c>
      <c r="J18" s="65"/>
      <c r="K18" s="65"/>
      <c r="L18" s="65"/>
      <c r="M18" s="65"/>
      <c r="N18" s="65"/>
      <c r="O18" s="65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1.25" customHeight="1" x14ac:dyDescent="0.25">
      <c r="A19" s="45"/>
      <c r="B19" s="20"/>
      <c r="C19" s="20"/>
      <c r="D19" s="20"/>
      <c r="E19" s="20"/>
      <c r="F19" s="20"/>
      <c r="G19" s="20"/>
      <c r="H19" s="20"/>
      <c r="I19" s="20"/>
      <c r="J19" s="65"/>
      <c r="K19" s="65"/>
      <c r="L19" s="65"/>
      <c r="M19" s="65"/>
      <c r="N19" s="65"/>
      <c r="O19" s="65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1.25" customHeight="1" x14ac:dyDescent="0.25">
      <c r="A20" s="75" t="s">
        <v>155</v>
      </c>
      <c r="B20" s="20"/>
      <c r="C20" s="20"/>
      <c r="D20" s="20"/>
      <c r="E20" s="20"/>
      <c r="F20" s="20"/>
      <c r="G20" s="20"/>
      <c r="H20" s="20"/>
      <c r="I20" s="20"/>
      <c r="J20" s="65"/>
      <c r="K20" s="65"/>
      <c r="L20" s="65"/>
      <c r="M20" s="65"/>
      <c r="N20" s="65"/>
      <c r="O20" s="65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1.25" customHeight="1" x14ac:dyDescent="0.25">
      <c r="A21" s="3" t="s">
        <v>46</v>
      </c>
      <c r="B21" s="19">
        <v>-1013</v>
      </c>
      <c r="C21" s="19">
        <v>-1024</v>
      </c>
      <c r="D21" s="19">
        <v>-801</v>
      </c>
      <c r="E21" s="27">
        <f>-Schedules!E73</f>
        <v>-914.50992419116346</v>
      </c>
      <c r="F21" s="27">
        <f>-Schedules!F73</f>
        <v>-916.51336971493083</v>
      </c>
      <c r="G21" s="27">
        <f>-Schedules!G73</f>
        <v>-918.54985030361911</v>
      </c>
      <c r="H21" s="27">
        <f>-Schedules!H73</f>
        <v>-920.61994800398702</v>
      </c>
      <c r="I21" s="27">
        <f>-Schedules!I73</f>
        <v>-922.72425516325427</v>
      </c>
      <c r="J21" s="65"/>
      <c r="K21" s="65"/>
      <c r="L21" s="65"/>
      <c r="M21" s="65"/>
      <c r="N21" s="65"/>
      <c r="O21" s="65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1.25" customHeight="1" x14ac:dyDescent="0.25">
      <c r="A22" s="3" t="s">
        <v>94</v>
      </c>
      <c r="B22" s="58">
        <f>SUM(Schedules!B139:B143)</f>
        <v>97</v>
      </c>
      <c r="C22" s="58">
        <f>SUM(Schedules!C139:C143)</f>
        <v>1</v>
      </c>
      <c r="D22" s="58">
        <f>SUM(Schedules!D139:D143)</f>
        <v>-1032</v>
      </c>
      <c r="E22" s="58">
        <f>SUM(Schedules!E139:E143)</f>
        <v>0</v>
      </c>
      <c r="F22" s="58">
        <f>SUM(Schedules!F139:F143)</f>
        <v>0</v>
      </c>
      <c r="G22" s="58">
        <f>SUM(Schedules!G139:G143)</f>
        <v>0</v>
      </c>
      <c r="H22" s="58">
        <f>SUM(Schedules!H139:H143)</f>
        <v>0</v>
      </c>
      <c r="I22" s="58">
        <f>SUM(Schedules!I139:I143)</f>
        <v>0</v>
      </c>
      <c r="J22" s="65"/>
      <c r="K22" s="65"/>
      <c r="L22" s="65"/>
      <c r="M22" s="65"/>
      <c r="N22" s="65"/>
      <c r="O22" s="65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1.25" customHeight="1" x14ac:dyDescent="0.25">
      <c r="A23" s="1" t="s">
        <v>156</v>
      </c>
      <c r="B23" s="20">
        <f t="shared" ref="B23:I23" si="1">SUM(B21:B22)</f>
        <v>-916</v>
      </c>
      <c r="C23" s="20">
        <f t="shared" si="1"/>
        <v>-1023</v>
      </c>
      <c r="D23" s="20">
        <f t="shared" si="1"/>
        <v>-1833</v>
      </c>
      <c r="E23" s="20">
        <f t="shared" si="1"/>
        <v>-914.50992419116346</v>
      </c>
      <c r="F23" s="20">
        <f t="shared" si="1"/>
        <v>-916.51336971493083</v>
      </c>
      <c r="G23" s="20">
        <f t="shared" si="1"/>
        <v>-918.54985030361911</v>
      </c>
      <c r="H23" s="20">
        <f t="shared" si="1"/>
        <v>-920.61994800398702</v>
      </c>
      <c r="I23" s="20">
        <f t="shared" si="1"/>
        <v>-922.72425516325427</v>
      </c>
      <c r="J23" s="65"/>
      <c r="K23" s="65"/>
      <c r="L23" s="65"/>
      <c r="M23" s="65"/>
      <c r="N23" s="65"/>
      <c r="O23" s="65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1.25" customHeight="1" x14ac:dyDescent="0.25">
      <c r="A24" s="45"/>
      <c r="B24" s="20"/>
      <c r="C24" s="20"/>
      <c r="D24" s="20"/>
      <c r="E24" s="20"/>
      <c r="F24" s="20"/>
      <c r="G24" s="20"/>
      <c r="H24" s="20"/>
      <c r="I24" s="20"/>
      <c r="J24" s="65"/>
      <c r="K24" s="65"/>
      <c r="L24" s="65"/>
      <c r="M24" s="65"/>
      <c r="N24" s="65"/>
      <c r="O24" s="65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1.25" customHeight="1" x14ac:dyDescent="0.25">
      <c r="A25" s="75" t="s">
        <v>157</v>
      </c>
      <c r="B25" s="20"/>
      <c r="C25" s="20"/>
      <c r="D25" s="20"/>
      <c r="E25" s="20"/>
      <c r="F25" s="20"/>
      <c r="G25" s="20"/>
      <c r="H25" s="20"/>
      <c r="I25" s="20"/>
      <c r="J25" s="65"/>
      <c r="K25" s="65"/>
      <c r="L25" s="65"/>
      <c r="M25" s="65"/>
      <c r="N25" s="65"/>
      <c r="O25" s="65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1.25" customHeight="1" x14ac:dyDescent="0.25">
      <c r="A26" s="3" t="s">
        <v>158</v>
      </c>
      <c r="B26" s="19">
        <v>-848</v>
      </c>
      <c r="C26" s="19">
        <v>-618</v>
      </c>
      <c r="D26" s="19">
        <v>-678</v>
      </c>
      <c r="E26" s="27">
        <f>Schedules!E90</f>
        <v>-1900</v>
      </c>
      <c r="F26" s="27">
        <f>Schedules!F90</f>
        <v>0</v>
      </c>
      <c r="G26" s="27">
        <f>Schedules!G90</f>
        <v>0</v>
      </c>
      <c r="H26" s="27">
        <f>Schedules!H90</f>
        <v>0</v>
      </c>
      <c r="I26" s="27">
        <f>Schedules!I90</f>
        <v>0</v>
      </c>
      <c r="J26" s="65"/>
      <c r="K26" s="65"/>
      <c r="L26" s="65"/>
      <c r="M26" s="65"/>
      <c r="N26" s="65"/>
      <c r="O26" s="65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1.25" customHeight="1" x14ac:dyDescent="0.25">
      <c r="A27" s="3" t="s">
        <v>159</v>
      </c>
      <c r="B27" s="19">
        <v>657</v>
      </c>
      <c r="C27" s="19">
        <v>594</v>
      </c>
      <c r="D27" s="19">
        <v>1620</v>
      </c>
      <c r="E27" s="27">
        <f>Schedules!E89</f>
        <v>1900</v>
      </c>
      <c r="F27" s="27">
        <f>Schedules!F89</f>
        <v>0</v>
      </c>
      <c r="G27" s="27">
        <f>Schedules!G89</f>
        <v>0</v>
      </c>
      <c r="H27" s="27">
        <f>Schedules!H89</f>
        <v>0</v>
      </c>
      <c r="I27" s="27">
        <f>Schedules!I89</f>
        <v>0</v>
      </c>
      <c r="J27" s="65"/>
      <c r="K27" s="65"/>
      <c r="L27" s="65"/>
      <c r="M27" s="65"/>
      <c r="N27" s="65"/>
      <c r="O27" s="65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1.25" customHeight="1" x14ac:dyDescent="0.25">
      <c r="A28" s="3" t="s">
        <v>160</v>
      </c>
      <c r="B28" s="19">
        <v>150</v>
      </c>
      <c r="C28" s="14">
        <v>0</v>
      </c>
      <c r="D28" s="14">
        <v>0</v>
      </c>
      <c r="E28" s="19">
        <v>0</v>
      </c>
      <c r="F28" s="20">
        <f t="shared" ref="F28:I28" si="2">E28</f>
        <v>0</v>
      </c>
      <c r="G28" s="20">
        <f t="shared" si="2"/>
        <v>0</v>
      </c>
      <c r="H28" s="20">
        <f t="shared" si="2"/>
        <v>0</v>
      </c>
      <c r="I28" s="20">
        <f t="shared" si="2"/>
        <v>0</v>
      </c>
      <c r="J28" s="65"/>
      <c r="K28" s="65"/>
      <c r="L28" s="65"/>
      <c r="M28" s="65"/>
      <c r="N28" s="65"/>
      <c r="O28" s="65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1.25" customHeight="1" x14ac:dyDescent="0.25">
      <c r="A29" s="3" t="s">
        <v>161</v>
      </c>
      <c r="B29" s="20">
        <v>-150</v>
      </c>
      <c r="C29" s="14">
        <v>0</v>
      </c>
      <c r="D29" s="14">
        <v>0</v>
      </c>
      <c r="E29" s="19">
        <v>0</v>
      </c>
      <c r="F29" s="20">
        <f t="shared" ref="F29:I29" si="3">E29</f>
        <v>0</v>
      </c>
      <c r="G29" s="20">
        <f t="shared" si="3"/>
        <v>0</v>
      </c>
      <c r="H29" s="20">
        <f t="shared" si="3"/>
        <v>0</v>
      </c>
      <c r="I29" s="20">
        <f t="shared" si="3"/>
        <v>0</v>
      </c>
      <c r="J29" s="65"/>
      <c r="K29" s="65"/>
      <c r="L29" s="65"/>
      <c r="M29" s="65"/>
      <c r="N29" s="65"/>
      <c r="O29" s="65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1.25" customHeight="1" x14ac:dyDescent="0.25">
      <c r="A30" s="3" t="s">
        <v>162</v>
      </c>
      <c r="B30" s="19">
        <v>-1965</v>
      </c>
      <c r="C30" s="19">
        <v>-1931</v>
      </c>
      <c r="D30" s="19">
        <v>-1898</v>
      </c>
      <c r="E30" s="27">
        <f>Schedules!E119</f>
        <v>-1906</v>
      </c>
      <c r="F30" s="20">
        <f t="shared" ref="F30:I30" si="4">E30</f>
        <v>-1906</v>
      </c>
      <c r="G30" s="20">
        <f t="shared" si="4"/>
        <v>-1906</v>
      </c>
      <c r="H30" s="20">
        <f t="shared" si="4"/>
        <v>-1906</v>
      </c>
      <c r="I30" s="20">
        <f t="shared" si="4"/>
        <v>-1906</v>
      </c>
      <c r="J30" s="65"/>
      <c r="K30" s="65"/>
      <c r="L30" s="65"/>
      <c r="M30" s="65"/>
      <c r="N30" s="65"/>
      <c r="O30" s="65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1.25" customHeight="1" x14ac:dyDescent="0.25">
      <c r="A31" s="3" t="s">
        <v>100</v>
      </c>
      <c r="B31" s="58">
        <f>SUM(Schedules!B146:B147)</f>
        <v>-522</v>
      </c>
      <c r="C31" s="58">
        <f>SUM(Schedules!C146:C147)</f>
        <v>-1053</v>
      </c>
      <c r="D31" s="58">
        <f>SUM(Schedules!D146:D147)</f>
        <v>-295</v>
      </c>
      <c r="E31" s="58">
        <f>SUM(Schedules!E146:E147)</f>
        <v>0</v>
      </c>
      <c r="F31" s="58">
        <f>SUM(Schedules!F146:F147)</f>
        <v>0</v>
      </c>
      <c r="G31" s="58">
        <f>SUM(Schedules!G146:G147)</f>
        <v>0</v>
      </c>
      <c r="H31" s="58">
        <f>SUM(Schedules!H146:H147)</f>
        <v>0</v>
      </c>
      <c r="I31" s="58">
        <f>SUM(Schedules!I146:I147)</f>
        <v>0</v>
      </c>
      <c r="J31" s="65"/>
      <c r="K31" s="65"/>
      <c r="L31" s="65"/>
      <c r="M31" s="65"/>
      <c r="N31" s="65"/>
      <c r="O31" s="65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1.25" customHeight="1" x14ac:dyDescent="0.25">
      <c r="A32" s="1" t="s">
        <v>163</v>
      </c>
      <c r="B32" s="20">
        <f t="shared" ref="B32:I32" si="5">SUM(B26:B31)</f>
        <v>-2678</v>
      </c>
      <c r="C32" s="20">
        <f t="shared" si="5"/>
        <v>-3008</v>
      </c>
      <c r="D32" s="20">
        <f t="shared" si="5"/>
        <v>-1251</v>
      </c>
      <c r="E32" s="20">
        <f t="shared" si="5"/>
        <v>-1906</v>
      </c>
      <c r="F32" s="20">
        <f t="shared" si="5"/>
        <v>-1906</v>
      </c>
      <c r="G32" s="20">
        <f t="shared" si="5"/>
        <v>-1906</v>
      </c>
      <c r="H32" s="20">
        <f t="shared" si="5"/>
        <v>-1906</v>
      </c>
      <c r="I32" s="20">
        <f t="shared" si="5"/>
        <v>-1906</v>
      </c>
      <c r="J32" s="65"/>
      <c r="K32" s="65"/>
      <c r="L32" s="65"/>
      <c r="M32" s="65"/>
      <c r="N32" s="65"/>
      <c r="O32" s="65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1.25" customHeight="1" x14ac:dyDescent="0.25">
      <c r="A33" s="45"/>
      <c r="B33" s="20"/>
      <c r="C33" s="20"/>
      <c r="D33" s="20"/>
      <c r="E33" s="20"/>
      <c r="F33" s="20"/>
      <c r="G33" s="20"/>
      <c r="H33" s="20"/>
      <c r="I33" s="20"/>
      <c r="J33" s="65"/>
      <c r="K33" s="65"/>
      <c r="L33" s="65"/>
      <c r="M33" s="65"/>
      <c r="N33" s="65"/>
      <c r="O33" s="65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1.25" customHeight="1" x14ac:dyDescent="0.25">
      <c r="A34" s="3" t="s">
        <v>164</v>
      </c>
      <c r="B34" s="54">
        <v>-19</v>
      </c>
      <c r="C34" s="54">
        <v>-71</v>
      </c>
      <c r="D34" s="54">
        <v>80</v>
      </c>
      <c r="E34" s="54">
        <v>0</v>
      </c>
      <c r="F34" s="55">
        <f t="shared" ref="F34:I34" si="6">E34</f>
        <v>0</v>
      </c>
      <c r="G34" s="55">
        <f t="shared" si="6"/>
        <v>0</v>
      </c>
      <c r="H34" s="55">
        <f t="shared" si="6"/>
        <v>0</v>
      </c>
      <c r="I34" s="55">
        <f t="shared" si="6"/>
        <v>0</v>
      </c>
      <c r="J34" s="65"/>
      <c r="K34" s="65"/>
      <c r="L34" s="65"/>
      <c r="M34" s="65"/>
      <c r="N34" s="65"/>
      <c r="O34" s="65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1.25" customHeight="1" x14ac:dyDescent="0.25">
      <c r="A35" s="1" t="s">
        <v>165</v>
      </c>
      <c r="B35" s="19">
        <v>363</v>
      </c>
      <c r="C35" s="19">
        <v>82</v>
      </c>
      <c r="D35" s="19">
        <v>1458</v>
      </c>
      <c r="E35" s="20">
        <f t="shared" ref="E35:I35" si="7">SUM(E18,E23,E32,E34)</f>
        <v>972.6030689886652</v>
      </c>
      <c r="F35" s="20">
        <f t="shared" si="7"/>
        <v>1014.1569216546773</v>
      </c>
      <c r="G35" s="20">
        <f t="shared" si="7"/>
        <v>1022.3428345727757</v>
      </c>
      <c r="H35" s="20">
        <f t="shared" si="7"/>
        <v>1030.6638509118266</v>
      </c>
      <c r="I35" s="20">
        <f t="shared" si="7"/>
        <v>1039.1223512186657</v>
      </c>
      <c r="J35" s="65"/>
      <c r="K35" s="65"/>
      <c r="L35" s="65"/>
      <c r="M35" s="65"/>
      <c r="N35" s="65"/>
      <c r="O35" s="65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1.25" customHeight="1" x14ac:dyDescent="0.25">
      <c r="A36" s="3" t="s">
        <v>166</v>
      </c>
      <c r="B36" s="54">
        <v>1041</v>
      </c>
      <c r="C36" s="55">
        <f t="shared" ref="C36:I36" si="8">B37</f>
        <v>1404</v>
      </c>
      <c r="D36" s="55">
        <f t="shared" si="8"/>
        <v>1486</v>
      </c>
      <c r="E36" s="55">
        <f t="shared" si="8"/>
        <v>2944</v>
      </c>
      <c r="F36" s="55">
        <f t="shared" si="8"/>
        <v>3916.6030689886652</v>
      </c>
      <c r="G36" s="55">
        <f t="shared" si="8"/>
        <v>4930.7599906433425</v>
      </c>
      <c r="H36" s="55">
        <f t="shared" si="8"/>
        <v>5953.1028252161177</v>
      </c>
      <c r="I36" s="55">
        <f t="shared" si="8"/>
        <v>6983.7666761279443</v>
      </c>
      <c r="J36" s="65"/>
      <c r="K36" s="65"/>
      <c r="L36" s="65"/>
      <c r="M36" s="65"/>
      <c r="N36" s="65"/>
      <c r="O36" s="65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1.25" customHeight="1" x14ac:dyDescent="0.25">
      <c r="A37" s="1" t="s">
        <v>167</v>
      </c>
      <c r="B37" s="76">
        <f t="shared" ref="B37:I37" si="9">SUM(B35:B36)</f>
        <v>1404</v>
      </c>
      <c r="C37" s="76">
        <f t="shared" si="9"/>
        <v>1486</v>
      </c>
      <c r="D37" s="76">
        <f t="shared" si="9"/>
        <v>2944</v>
      </c>
      <c r="E37" s="76">
        <f t="shared" si="9"/>
        <v>3916.6030689886652</v>
      </c>
      <c r="F37" s="76">
        <f t="shared" si="9"/>
        <v>4930.7599906433425</v>
      </c>
      <c r="G37" s="76">
        <f t="shared" si="9"/>
        <v>5953.1028252161177</v>
      </c>
      <c r="H37" s="76">
        <f t="shared" si="9"/>
        <v>6983.7666761279443</v>
      </c>
      <c r="I37" s="76">
        <f t="shared" si="9"/>
        <v>8022.8890273466095</v>
      </c>
      <c r="J37" s="65"/>
      <c r="K37" s="65"/>
      <c r="L37" s="65"/>
      <c r="M37" s="65"/>
      <c r="N37" s="65"/>
      <c r="O37" s="65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1.25" customHeight="1" x14ac:dyDescent="0.25">
      <c r="A38" s="3"/>
      <c r="B38" s="65"/>
      <c r="C38" s="65"/>
      <c r="D38" s="65"/>
      <c r="E38" s="65"/>
      <c r="F38" s="65"/>
      <c r="G38" s="65"/>
      <c r="H38" s="65"/>
      <c r="I38" s="65"/>
      <c r="J38" s="65"/>
      <c r="K38" s="65"/>
      <c r="L38" s="65"/>
      <c r="M38" s="65"/>
      <c r="N38" s="65"/>
      <c r="O38" s="65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1.25" customHeight="1" x14ac:dyDescent="0.25">
      <c r="A39" s="3"/>
      <c r="B39" s="65"/>
      <c r="C39" s="65"/>
      <c r="D39" s="65"/>
      <c r="E39" s="65"/>
      <c r="F39" s="65"/>
      <c r="G39" s="65"/>
      <c r="H39" s="65"/>
      <c r="I39" s="65"/>
      <c r="J39" s="65"/>
      <c r="K39" s="65"/>
      <c r="L39" s="65"/>
      <c r="M39" s="65"/>
      <c r="N39" s="65"/>
      <c r="O39" s="65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1.25" customHeight="1" x14ac:dyDescent="0.25">
      <c r="A40" s="3"/>
      <c r="B40" s="65"/>
      <c r="C40" s="65"/>
      <c r="D40" s="65"/>
      <c r="E40" s="65"/>
      <c r="F40" s="65"/>
      <c r="G40" s="65"/>
      <c r="H40" s="65"/>
      <c r="I40" s="65"/>
      <c r="J40" s="65"/>
      <c r="K40" s="65"/>
      <c r="L40" s="65"/>
      <c r="M40" s="65"/>
      <c r="N40" s="65"/>
      <c r="O40" s="65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1.25" customHeight="1" x14ac:dyDescent="0.25">
      <c r="A41" s="3"/>
      <c r="B41" s="65"/>
      <c r="C41" s="65"/>
      <c r="D41" s="65"/>
      <c r="E41" s="65"/>
      <c r="F41" s="65"/>
      <c r="G41" s="65"/>
      <c r="H41" s="65"/>
      <c r="I41" s="65"/>
      <c r="J41" s="65"/>
      <c r="K41" s="65"/>
      <c r="L41" s="65"/>
      <c r="M41" s="65"/>
      <c r="N41" s="65"/>
      <c r="O41" s="65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1.25" customHeight="1" x14ac:dyDescent="0.25">
      <c r="A42" s="3"/>
      <c r="B42" s="65"/>
      <c r="C42" s="65"/>
      <c r="D42" s="65"/>
      <c r="E42" s="65"/>
      <c r="F42" s="65"/>
      <c r="G42" s="65"/>
      <c r="H42" s="65"/>
      <c r="I42" s="65"/>
      <c r="J42" s="65"/>
      <c r="K42" s="65"/>
      <c r="L42" s="65"/>
      <c r="M42" s="65"/>
      <c r="N42" s="65"/>
      <c r="O42" s="65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1.25" customHeight="1" x14ac:dyDescent="0.25">
      <c r="A43" s="3"/>
      <c r="B43" s="65"/>
      <c r="C43" s="65"/>
      <c r="D43" s="65"/>
      <c r="E43" s="65"/>
      <c r="F43" s="65"/>
      <c r="G43" s="65"/>
      <c r="H43" s="65"/>
      <c r="I43" s="65"/>
      <c r="J43" s="65"/>
      <c r="K43" s="65"/>
      <c r="L43" s="65"/>
      <c r="M43" s="65"/>
      <c r="N43" s="65"/>
      <c r="O43" s="65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1.25" customHeight="1" x14ac:dyDescent="0.25">
      <c r="A44" s="3"/>
      <c r="B44" s="65"/>
      <c r="C44" s="65" t="s">
        <v>168</v>
      </c>
      <c r="D44" s="65"/>
      <c r="E44" s="65"/>
      <c r="F44" s="65"/>
      <c r="G44" s="65"/>
      <c r="H44" s="65"/>
      <c r="I44" s="65"/>
      <c r="J44" s="65"/>
      <c r="K44" s="65"/>
      <c r="L44" s="65"/>
      <c r="M44" s="65"/>
      <c r="N44" s="65"/>
      <c r="O44" s="65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1.25" customHeight="1" x14ac:dyDescent="0.25">
      <c r="A45" s="3"/>
      <c r="B45" s="65"/>
      <c r="C45" s="65"/>
      <c r="D45" s="65"/>
      <c r="E45" s="65"/>
      <c r="F45" s="65"/>
      <c r="G45" s="65"/>
      <c r="H45" s="65"/>
      <c r="I45" s="65"/>
      <c r="J45" s="65"/>
      <c r="K45" s="65"/>
      <c r="L45" s="65"/>
      <c r="M45" s="65"/>
      <c r="N45" s="65"/>
      <c r="O45" s="65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1.25" customHeight="1" x14ac:dyDescent="0.25">
      <c r="A46" s="3"/>
      <c r="B46" s="65"/>
      <c r="C46" s="65"/>
      <c r="D46" s="65"/>
      <c r="E46" s="65"/>
      <c r="F46" s="65"/>
      <c r="G46" s="65"/>
      <c r="H46" s="65"/>
      <c r="I46" s="65"/>
      <c r="J46" s="65"/>
      <c r="K46" s="65"/>
      <c r="L46" s="65"/>
      <c r="M46" s="65"/>
      <c r="N46" s="65"/>
      <c r="O46" s="65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1.25" customHeight="1" x14ac:dyDescent="0.25">
      <c r="A47" s="3"/>
      <c r="B47" s="65"/>
      <c r="C47" s="65"/>
      <c r="D47" s="65"/>
      <c r="E47" s="65"/>
      <c r="F47" s="65"/>
      <c r="G47" s="65"/>
      <c r="H47" s="65"/>
      <c r="I47" s="65"/>
      <c r="J47" s="65"/>
      <c r="K47" s="65"/>
      <c r="L47" s="65"/>
      <c r="M47" s="65"/>
      <c r="N47" s="65"/>
      <c r="O47" s="65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1.25" customHeight="1" x14ac:dyDescent="0.25">
      <c r="A48" s="3"/>
      <c r="B48" s="65"/>
      <c r="C48" s="65"/>
      <c r="D48" s="65"/>
      <c r="E48" s="65"/>
      <c r="F48" s="65"/>
      <c r="G48" s="65"/>
      <c r="H48" s="65"/>
      <c r="I48" s="65"/>
      <c r="J48" s="65"/>
      <c r="K48" s="65"/>
      <c r="L48" s="65"/>
      <c r="M48" s="65"/>
      <c r="N48" s="65"/>
      <c r="O48" s="65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1.25" customHeight="1" x14ac:dyDescent="0.25">
      <c r="A49" s="3"/>
      <c r="B49" s="65"/>
      <c r="C49" s="65"/>
      <c r="D49" s="65"/>
      <c r="E49" s="65"/>
      <c r="F49" s="65"/>
      <c r="G49" s="65"/>
      <c r="H49" s="65"/>
      <c r="I49" s="65"/>
      <c r="J49" s="65"/>
      <c r="K49" s="65"/>
      <c r="L49" s="65"/>
      <c r="M49" s="65"/>
      <c r="N49" s="65"/>
      <c r="O49" s="65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1.25" customHeight="1" x14ac:dyDescent="0.25">
      <c r="A50" s="3"/>
      <c r="B50" s="65"/>
      <c r="C50" s="65"/>
      <c r="D50" s="65"/>
      <c r="E50" s="65"/>
      <c r="F50" s="65"/>
      <c r="G50" s="65"/>
      <c r="H50" s="65"/>
      <c r="I50" s="65"/>
      <c r="J50" s="65"/>
      <c r="K50" s="65"/>
      <c r="L50" s="65"/>
      <c r="M50" s="65"/>
      <c r="N50" s="65"/>
      <c r="O50" s="65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1.25" customHeight="1" x14ac:dyDescent="0.25">
      <c r="A51" s="3"/>
      <c r="B51" s="65"/>
      <c r="C51" s="65"/>
      <c r="D51" s="65"/>
      <c r="E51" s="65"/>
      <c r="F51" s="65"/>
      <c r="G51" s="65"/>
      <c r="H51" s="65"/>
      <c r="I51" s="65"/>
      <c r="J51" s="65"/>
      <c r="K51" s="65"/>
      <c r="L51" s="65"/>
      <c r="M51" s="65"/>
      <c r="N51" s="65"/>
      <c r="O51" s="65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1.25" customHeight="1" x14ac:dyDescent="0.25">
      <c r="A52" s="3"/>
      <c r="B52" s="65"/>
      <c r="C52" s="65"/>
      <c r="D52" s="65"/>
      <c r="E52" s="65"/>
      <c r="F52" s="65"/>
      <c r="G52" s="65"/>
      <c r="H52" s="65"/>
      <c r="I52" s="65"/>
      <c r="J52" s="65"/>
      <c r="K52" s="65"/>
      <c r="L52" s="65"/>
      <c r="M52" s="65"/>
      <c r="N52" s="65"/>
      <c r="O52" s="65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1.25" customHeight="1" x14ac:dyDescent="0.25">
      <c r="A53" s="3"/>
      <c r="B53" s="65"/>
      <c r="C53" s="65"/>
      <c r="D53" s="65"/>
      <c r="E53" s="65"/>
      <c r="F53" s="65"/>
      <c r="G53" s="65"/>
      <c r="H53" s="65"/>
      <c r="I53" s="65"/>
      <c r="J53" s="65"/>
      <c r="K53" s="65"/>
      <c r="L53" s="65"/>
      <c r="M53" s="65"/>
      <c r="N53" s="65"/>
      <c r="O53" s="65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1.25" customHeight="1" x14ac:dyDescent="0.25">
      <c r="A54" s="3"/>
      <c r="B54" s="65"/>
      <c r="C54" s="65"/>
      <c r="D54" s="65"/>
      <c r="E54" s="65"/>
      <c r="F54" s="65"/>
      <c r="G54" s="65"/>
      <c r="H54" s="65"/>
      <c r="I54" s="65"/>
      <c r="J54" s="65"/>
      <c r="K54" s="65"/>
      <c r="L54" s="65"/>
      <c r="M54" s="65"/>
      <c r="N54" s="65"/>
      <c r="O54" s="65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1.25" customHeight="1" x14ac:dyDescent="0.25">
      <c r="A55" s="3"/>
      <c r="B55" s="65"/>
      <c r="C55" s="65"/>
      <c r="D55" s="65"/>
      <c r="E55" s="65"/>
      <c r="F55" s="65"/>
      <c r="G55" s="65"/>
      <c r="H55" s="65"/>
      <c r="I55" s="65"/>
      <c r="J55" s="65"/>
      <c r="K55" s="65"/>
      <c r="L55" s="65"/>
      <c r="M55" s="65"/>
      <c r="N55" s="65"/>
      <c r="O55" s="65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1.25" customHeight="1" x14ac:dyDescent="0.25">
      <c r="A56" s="3"/>
      <c r="B56" s="65"/>
      <c r="C56" s="65"/>
      <c r="D56" s="65"/>
      <c r="E56" s="65"/>
      <c r="F56" s="65"/>
      <c r="G56" s="65"/>
      <c r="H56" s="65"/>
      <c r="I56" s="65"/>
      <c r="J56" s="65"/>
      <c r="K56" s="65"/>
      <c r="L56" s="65"/>
      <c r="M56" s="65"/>
      <c r="N56" s="65"/>
      <c r="O56" s="65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1.25" customHeight="1" x14ac:dyDescent="0.25">
      <c r="A57" s="3"/>
      <c r="B57" s="65"/>
      <c r="C57" s="65"/>
      <c r="D57" s="65"/>
      <c r="E57" s="65"/>
      <c r="F57" s="65"/>
      <c r="G57" s="65"/>
      <c r="H57" s="65"/>
      <c r="I57" s="65"/>
      <c r="J57" s="65"/>
      <c r="K57" s="65"/>
      <c r="L57" s="65"/>
      <c r="M57" s="65"/>
      <c r="N57" s="65"/>
      <c r="O57" s="65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1.25" customHeight="1" x14ac:dyDescent="0.25">
      <c r="A58" s="3"/>
      <c r="B58" s="65"/>
      <c r="C58" s="65"/>
      <c r="D58" s="65"/>
      <c r="E58" s="65"/>
      <c r="F58" s="65"/>
      <c r="G58" s="65"/>
      <c r="H58" s="65"/>
      <c r="I58" s="65"/>
      <c r="J58" s="65"/>
      <c r="K58" s="65"/>
      <c r="L58" s="65"/>
      <c r="M58" s="65"/>
      <c r="N58" s="65"/>
      <c r="O58" s="65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1.25" customHeight="1" x14ac:dyDescent="0.25">
      <c r="A59" s="3"/>
      <c r="B59" s="65"/>
      <c r="C59" s="65"/>
      <c r="D59" s="65"/>
      <c r="E59" s="65"/>
      <c r="F59" s="65"/>
      <c r="G59" s="65"/>
      <c r="H59" s="65"/>
      <c r="I59" s="65"/>
      <c r="J59" s="65"/>
      <c r="K59" s="65"/>
      <c r="L59" s="65"/>
      <c r="M59" s="65"/>
      <c r="N59" s="65"/>
      <c r="O59" s="65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1.25" customHeight="1" x14ac:dyDescent="0.25">
      <c r="A60" s="3"/>
      <c r="B60" s="65"/>
      <c r="C60" s="65"/>
      <c r="D60" s="65"/>
      <c r="E60" s="65"/>
      <c r="F60" s="65"/>
      <c r="G60" s="65"/>
      <c r="H60" s="65"/>
      <c r="I60" s="65"/>
      <c r="J60" s="65"/>
      <c r="K60" s="65"/>
      <c r="L60" s="65"/>
      <c r="M60" s="65"/>
      <c r="N60" s="65"/>
      <c r="O60" s="65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1.25" customHeight="1" x14ac:dyDescent="0.25">
      <c r="A61" s="3"/>
      <c r="B61" s="65"/>
      <c r="C61" s="65"/>
      <c r="D61" s="65"/>
      <c r="E61" s="65"/>
      <c r="F61" s="65"/>
      <c r="G61" s="65"/>
      <c r="H61" s="65"/>
      <c r="I61" s="65"/>
      <c r="J61" s="65"/>
      <c r="K61" s="65"/>
      <c r="L61" s="65"/>
      <c r="M61" s="65"/>
      <c r="N61" s="65"/>
      <c r="O61" s="65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1.25" customHeight="1" x14ac:dyDescent="0.25">
      <c r="A62" s="3"/>
      <c r="B62" s="65"/>
      <c r="C62" s="65"/>
      <c r="D62" s="65"/>
      <c r="E62" s="65"/>
      <c r="F62" s="65"/>
      <c r="G62" s="65"/>
      <c r="H62" s="65"/>
      <c r="I62" s="65"/>
      <c r="J62" s="65"/>
      <c r="K62" s="65"/>
      <c r="L62" s="65"/>
      <c r="M62" s="65"/>
      <c r="N62" s="65"/>
      <c r="O62" s="65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1.25" customHeight="1" x14ac:dyDescent="0.25">
      <c r="A63" s="3"/>
      <c r="B63" s="65"/>
      <c r="C63" s="65"/>
      <c r="D63" s="65"/>
      <c r="E63" s="65"/>
      <c r="F63" s="65"/>
      <c r="G63" s="65"/>
      <c r="H63" s="65"/>
      <c r="I63" s="65"/>
      <c r="J63" s="65"/>
      <c r="K63" s="65"/>
      <c r="L63" s="65"/>
      <c r="M63" s="65"/>
      <c r="N63" s="65"/>
      <c r="O63" s="65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1.25" customHeight="1" x14ac:dyDescent="0.25">
      <c r="A64" s="3"/>
      <c r="B64" s="65"/>
      <c r="C64" s="65"/>
      <c r="D64" s="65"/>
      <c r="E64" s="65"/>
      <c r="F64" s="65"/>
      <c r="G64" s="65"/>
      <c r="H64" s="65"/>
      <c r="I64" s="65"/>
      <c r="J64" s="65"/>
      <c r="K64" s="65"/>
      <c r="L64" s="65"/>
      <c r="M64" s="65"/>
      <c r="N64" s="65"/>
      <c r="O64" s="65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1.25" customHeight="1" x14ac:dyDescent="0.25">
      <c r="A65" s="3"/>
      <c r="B65" s="65"/>
      <c r="C65" s="65"/>
      <c r="D65" s="65"/>
      <c r="E65" s="65"/>
      <c r="F65" s="65"/>
      <c r="G65" s="65"/>
      <c r="H65" s="65"/>
      <c r="I65" s="65"/>
      <c r="J65" s="65"/>
      <c r="K65" s="65"/>
      <c r="L65" s="65"/>
      <c r="M65" s="65"/>
      <c r="N65" s="65"/>
      <c r="O65" s="65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1.25" customHeight="1" x14ac:dyDescent="0.25">
      <c r="A66" s="3"/>
      <c r="B66" s="65"/>
      <c r="C66" s="65"/>
      <c r="D66" s="65"/>
      <c r="E66" s="65"/>
      <c r="F66" s="65"/>
      <c r="G66" s="65"/>
      <c r="H66" s="65"/>
      <c r="I66" s="65"/>
      <c r="J66" s="65"/>
      <c r="K66" s="65"/>
      <c r="L66" s="65"/>
      <c r="M66" s="65"/>
      <c r="N66" s="65"/>
      <c r="O66" s="65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1.25" customHeight="1" x14ac:dyDescent="0.25">
      <c r="A67" s="3"/>
      <c r="B67" s="65"/>
      <c r="C67" s="65"/>
      <c r="D67" s="65"/>
      <c r="E67" s="65"/>
      <c r="F67" s="65"/>
      <c r="G67" s="65"/>
      <c r="H67" s="65"/>
      <c r="I67" s="65"/>
      <c r="J67" s="65"/>
      <c r="K67" s="65"/>
      <c r="L67" s="65"/>
      <c r="M67" s="65"/>
      <c r="N67" s="65"/>
      <c r="O67" s="65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1.25" customHeight="1" x14ac:dyDescent="0.25">
      <c r="A68" s="3"/>
      <c r="B68" s="65"/>
      <c r="C68" s="65"/>
      <c r="D68" s="65"/>
      <c r="E68" s="65"/>
      <c r="F68" s="65"/>
      <c r="G68" s="65"/>
      <c r="H68" s="65"/>
      <c r="I68" s="65"/>
      <c r="J68" s="65"/>
      <c r="K68" s="65"/>
      <c r="L68" s="65"/>
      <c r="M68" s="65"/>
      <c r="N68" s="65"/>
      <c r="O68" s="65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1.25" customHeight="1" x14ac:dyDescent="0.25">
      <c r="A69" s="3"/>
      <c r="B69" s="65"/>
      <c r="C69" s="65"/>
      <c r="D69" s="65"/>
      <c r="E69" s="65"/>
      <c r="F69" s="65"/>
      <c r="G69" s="65"/>
      <c r="H69" s="65"/>
      <c r="I69" s="65"/>
      <c r="J69" s="65"/>
      <c r="K69" s="65"/>
      <c r="L69" s="65"/>
      <c r="M69" s="65"/>
      <c r="N69" s="65"/>
      <c r="O69" s="65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1.25" customHeight="1" x14ac:dyDescent="0.25">
      <c r="A70" s="3"/>
      <c r="B70" s="65"/>
      <c r="C70" s="65"/>
      <c r="D70" s="65"/>
      <c r="E70" s="65"/>
      <c r="F70" s="65"/>
      <c r="G70" s="65"/>
      <c r="H70" s="65"/>
      <c r="I70" s="65"/>
      <c r="J70" s="65"/>
      <c r="K70" s="65"/>
      <c r="L70" s="65"/>
      <c r="M70" s="65"/>
      <c r="N70" s="65"/>
      <c r="O70" s="65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1.25" customHeight="1" x14ac:dyDescent="0.25">
      <c r="A71" s="3"/>
      <c r="B71" s="65"/>
      <c r="C71" s="65"/>
      <c r="D71" s="65"/>
      <c r="E71" s="65"/>
      <c r="F71" s="65"/>
      <c r="G71" s="65"/>
      <c r="H71" s="65"/>
      <c r="I71" s="65"/>
      <c r="J71" s="65"/>
      <c r="K71" s="65"/>
      <c r="L71" s="65"/>
      <c r="M71" s="65"/>
      <c r="N71" s="65"/>
      <c r="O71" s="65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1.25" customHeight="1" x14ac:dyDescent="0.25">
      <c r="A72" s="3"/>
      <c r="B72" s="65"/>
      <c r="C72" s="65"/>
      <c r="D72" s="65"/>
      <c r="E72" s="65"/>
      <c r="F72" s="65"/>
      <c r="G72" s="65"/>
      <c r="H72" s="65"/>
      <c r="I72" s="65"/>
      <c r="J72" s="65"/>
      <c r="K72" s="65"/>
      <c r="L72" s="65"/>
      <c r="M72" s="65"/>
      <c r="N72" s="65"/>
      <c r="O72" s="65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1.25" customHeight="1" x14ac:dyDescent="0.25">
      <c r="A73" s="3"/>
      <c r="B73" s="65"/>
      <c r="C73" s="65"/>
      <c r="D73" s="65"/>
      <c r="E73" s="65"/>
      <c r="F73" s="65"/>
      <c r="G73" s="65"/>
      <c r="H73" s="65"/>
      <c r="I73" s="65"/>
      <c r="J73" s="65"/>
      <c r="K73" s="65"/>
      <c r="L73" s="65"/>
      <c r="M73" s="65"/>
      <c r="N73" s="65"/>
      <c r="O73" s="65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1.25" customHeight="1" x14ac:dyDescent="0.25">
      <c r="A74" s="3"/>
      <c r="B74" s="65"/>
      <c r="C74" s="65"/>
      <c r="D74" s="65"/>
      <c r="E74" s="65"/>
      <c r="F74" s="65"/>
      <c r="G74" s="65"/>
      <c r="H74" s="65"/>
      <c r="I74" s="65"/>
      <c r="J74" s="65"/>
      <c r="K74" s="65"/>
      <c r="L74" s="65"/>
      <c r="M74" s="65"/>
      <c r="N74" s="65"/>
      <c r="O74" s="65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1.25" customHeight="1" x14ac:dyDescent="0.25">
      <c r="A75" s="3"/>
      <c r="B75" s="65"/>
      <c r="C75" s="65"/>
      <c r="D75" s="65"/>
      <c r="E75" s="65"/>
      <c r="F75" s="65"/>
      <c r="G75" s="65"/>
      <c r="H75" s="65"/>
      <c r="I75" s="65"/>
      <c r="J75" s="65"/>
      <c r="K75" s="65"/>
      <c r="L75" s="65"/>
      <c r="M75" s="65"/>
      <c r="N75" s="65"/>
      <c r="O75" s="65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1.25" customHeight="1" x14ac:dyDescent="0.25">
      <c r="A76" s="3"/>
      <c r="B76" s="65"/>
      <c r="C76" s="65"/>
      <c r="D76" s="65"/>
      <c r="E76" s="65"/>
      <c r="F76" s="65"/>
      <c r="G76" s="65"/>
      <c r="H76" s="65"/>
      <c r="I76" s="65"/>
      <c r="J76" s="65"/>
      <c r="K76" s="65"/>
      <c r="L76" s="65"/>
      <c r="M76" s="65"/>
      <c r="N76" s="65"/>
      <c r="O76" s="65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1.25" customHeight="1" x14ac:dyDescent="0.25">
      <c r="A77" s="3"/>
      <c r="B77" s="65"/>
      <c r="C77" s="65"/>
      <c r="D77" s="65"/>
      <c r="E77" s="65"/>
      <c r="F77" s="65"/>
      <c r="G77" s="65"/>
      <c r="H77" s="65"/>
      <c r="I77" s="65"/>
      <c r="J77" s="65"/>
      <c r="K77" s="65"/>
      <c r="L77" s="65"/>
      <c r="M77" s="65"/>
      <c r="N77" s="65"/>
      <c r="O77" s="65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1.25" customHeight="1" x14ac:dyDescent="0.25">
      <c r="A78" s="3"/>
      <c r="B78" s="65"/>
      <c r="C78" s="65"/>
      <c r="D78" s="65"/>
      <c r="E78" s="65"/>
      <c r="F78" s="65"/>
      <c r="G78" s="65"/>
      <c r="H78" s="65"/>
      <c r="I78" s="65"/>
      <c r="J78" s="65"/>
      <c r="K78" s="65"/>
      <c r="L78" s="65"/>
      <c r="M78" s="65"/>
      <c r="N78" s="65"/>
      <c r="O78" s="65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1.25" customHeight="1" x14ac:dyDescent="0.25">
      <c r="A79" s="3"/>
      <c r="B79" s="65"/>
      <c r="C79" s="65"/>
      <c r="D79" s="65"/>
      <c r="E79" s="65"/>
      <c r="F79" s="65"/>
      <c r="G79" s="65"/>
      <c r="H79" s="65"/>
      <c r="I79" s="65"/>
      <c r="J79" s="65"/>
      <c r="K79" s="65"/>
      <c r="L79" s="65"/>
      <c r="M79" s="65"/>
      <c r="N79" s="65"/>
      <c r="O79" s="65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1.25" customHeight="1" x14ac:dyDescent="0.25">
      <c r="A80" s="3"/>
      <c r="B80" s="65"/>
      <c r="C80" s="65"/>
      <c r="D80" s="65"/>
      <c r="E80" s="65"/>
      <c r="F80" s="65"/>
      <c r="G80" s="65"/>
      <c r="H80" s="65"/>
      <c r="I80" s="65"/>
      <c r="J80" s="65"/>
      <c r="K80" s="65"/>
      <c r="L80" s="65"/>
      <c r="M80" s="65"/>
      <c r="N80" s="65"/>
      <c r="O80" s="65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1.25" customHeight="1" x14ac:dyDescent="0.25">
      <c r="A81" s="3"/>
      <c r="B81" s="65"/>
      <c r="C81" s="65"/>
      <c r="D81" s="65"/>
      <c r="E81" s="65"/>
      <c r="F81" s="65"/>
      <c r="G81" s="65"/>
      <c r="H81" s="65"/>
      <c r="I81" s="65"/>
      <c r="J81" s="65"/>
      <c r="K81" s="65"/>
      <c r="L81" s="65"/>
      <c r="M81" s="65"/>
      <c r="N81" s="65"/>
      <c r="O81" s="65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1.25" customHeight="1" x14ac:dyDescent="0.25">
      <c r="A82" s="3"/>
      <c r="B82" s="65"/>
      <c r="C82" s="65"/>
      <c r="D82" s="65"/>
      <c r="E82" s="65"/>
      <c r="F82" s="65"/>
      <c r="G82" s="65"/>
      <c r="H82" s="65"/>
      <c r="I82" s="65"/>
      <c r="J82" s="65"/>
      <c r="K82" s="65"/>
      <c r="L82" s="65"/>
      <c r="M82" s="65"/>
      <c r="N82" s="65"/>
      <c r="O82" s="65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1.25" customHeight="1" x14ac:dyDescent="0.25">
      <c r="A83" s="3"/>
      <c r="B83" s="65"/>
      <c r="C83" s="65"/>
      <c r="D83" s="65"/>
      <c r="E83" s="65"/>
      <c r="F83" s="65"/>
      <c r="G83" s="65"/>
      <c r="H83" s="65"/>
      <c r="I83" s="65"/>
      <c r="J83" s="65"/>
      <c r="K83" s="65"/>
      <c r="L83" s="65"/>
      <c r="M83" s="65"/>
      <c r="N83" s="65"/>
      <c r="O83" s="65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1.25" customHeight="1" x14ac:dyDescent="0.25">
      <c r="A84" s="3"/>
      <c r="B84" s="65"/>
      <c r="C84" s="65"/>
      <c r="D84" s="65"/>
      <c r="E84" s="65"/>
      <c r="F84" s="65"/>
      <c r="G84" s="65"/>
      <c r="H84" s="65"/>
      <c r="I84" s="65"/>
      <c r="J84" s="65"/>
      <c r="K84" s="65"/>
      <c r="L84" s="65"/>
      <c r="M84" s="65"/>
      <c r="N84" s="65"/>
      <c r="O84" s="65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1.25" customHeight="1" x14ac:dyDescent="0.25">
      <c r="A85" s="3"/>
      <c r="B85" s="65"/>
      <c r="C85" s="65"/>
      <c r="D85" s="65"/>
      <c r="E85" s="65"/>
      <c r="F85" s="65"/>
      <c r="G85" s="65"/>
      <c r="H85" s="65"/>
      <c r="I85" s="65"/>
      <c r="J85" s="65"/>
      <c r="K85" s="65"/>
      <c r="L85" s="65"/>
      <c r="M85" s="65"/>
      <c r="N85" s="65"/>
      <c r="O85" s="65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1.25" customHeight="1" x14ac:dyDescent="0.25">
      <c r="A86" s="3"/>
      <c r="B86" s="65"/>
      <c r="C86" s="65"/>
      <c r="D86" s="65"/>
      <c r="E86" s="65"/>
      <c r="F86" s="65"/>
      <c r="G86" s="65"/>
      <c r="H86" s="65"/>
      <c r="I86" s="65"/>
      <c r="J86" s="65"/>
      <c r="K86" s="65"/>
      <c r="L86" s="65"/>
      <c r="M86" s="65"/>
      <c r="N86" s="65"/>
      <c r="O86" s="65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1.25" customHeight="1" x14ac:dyDescent="0.25">
      <c r="A87" s="3"/>
      <c r="B87" s="65"/>
      <c r="C87" s="65"/>
      <c r="D87" s="65"/>
      <c r="E87" s="65"/>
      <c r="F87" s="65"/>
      <c r="G87" s="65"/>
      <c r="H87" s="65"/>
      <c r="I87" s="65"/>
      <c r="J87" s="65"/>
      <c r="K87" s="65"/>
      <c r="L87" s="65"/>
      <c r="M87" s="65"/>
      <c r="N87" s="65"/>
      <c r="O87" s="65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1.25" customHeight="1" x14ac:dyDescent="0.25">
      <c r="A88" s="3"/>
      <c r="B88" s="65"/>
      <c r="C88" s="65"/>
      <c r="D88" s="65"/>
      <c r="E88" s="65"/>
      <c r="F88" s="65"/>
      <c r="G88" s="65"/>
      <c r="H88" s="65"/>
      <c r="I88" s="65"/>
      <c r="J88" s="65"/>
      <c r="K88" s="65"/>
      <c r="L88" s="65"/>
      <c r="M88" s="65"/>
      <c r="N88" s="65"/>
      <c r="O88" s="65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1.25" customHeight="1" x14ac:dyDescent="0.25">
      <c r="A89" s="3"/>
      <c r="B89" s="65"/>
      <c r="C89" s="65"/>
      <c r="D89" s="65"/>
      <c r="E89" s="65"/>
      <c r="F89" s="65"/>
      <c r="G89" s="65"/>
      <c r="H89" s="65"/>
      <c r="I89" s="65"/>
      <c r="J89" s="65"/>
      <c r="K89" s="65"/>
      <c r="L89" s="65"/>
      <c r="M89" s="65"/>
      <c r="N89" s="65"/>
      <c r="O89" s="65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1.25" customHeight="1" x14ac:dyDescent="0.25">
      <c r="A90" s="3"/>
      <c r="B90" s="65"/>
      <c r="C90" s="65"/>
      <c r="D90" s="65"/>
      <c r="E90" s="65"/>
      <c r="F90" s="65"/>
      <c r="G90" s="65"/>
      <c r="H90" s="65"/>
      <c r="I90" s="65"/>
      <c r="J90" s="65"/>
      <c r="K90" s="65"/>
      <c r="L90" s="65"/>
      <c r="M90" s="65"/>
      <c r="N90" s="65"/>
      <c r="O90" s="65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1.25" customHeight="1" x14ac:dyDescent="0.25">
      <c r="A91" s="3"/>
      <c r="B91" s="65"/>
      <c r="C91" s="65"/>
      <c r="D91" s="65"/>
      <c r="E91" s="65"/>
      <c r="F91" s="65"/>
      <c r="G91" s="65"/>
      <c r="H91" s="65"/>
      <c r="I91" s="65"/>
      <c r="J91" s="65"/>
      <c r="K91" s="65"/>
      <c r="L91" s="65"/>
      <c r="M91" s="65"/>
      <c r="N91" s="65"/>
      <c r="O91" s="65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1.25" customHeight="1" x14ac:dyDescent="0.25">
      <c r="A92" s="3"/>
      <c r="B92" s="65"/>
      <c r="C92" s="65"/>
      <c r="D92" s="65"/>
      <c r="E92" s="65"/>
      <c r="F92" s="65"/>
      <c r="G92" s="65"/>
      <c r="H92" s="65"/>
      <c r="I92" s="65"/>
      <c r="J92" s="65"/>
      <c r="K92" s="65"/>
      <c r="L92" s="65"/>
      <c r="M92" s="65"/>
      <c r="N92" s="65"/>
      <c r="O92" s="65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1.25" customHeight="1" x14ac:dyDescent="0.25">
      <c r="A93" s="3"/>
      <c r="B93" s="65"/>
      <c r="C93" s="65"/>
      <c r="D93" s="65"/>
      <c r="E93" s="65"/>
      <c r="F93" s="65"/>
      <c r="G93" s="65"/>
      <c r="H93" s="65"/>
      <c r="I93" s="65"/>
      <c r="J93" s="65"/>
      <c r="K93" s="65"/>
      <c r="L93" s="65"/>
      <c r="M93" s="65"/>
      <c r="N93" s="65"/>
      <c r="O93" s="65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1.25" customHeight="1" x14ac:dyDescent="0.25">
      <c r="A94" s="3"/>
      <c r="B94" s="65"/>
      <c r="C94" s="65"/>
      <c r="D94" s="65"/>
      <c r="E94" s="65"/>
      <c r="F94" s="65"/>
      <c r="G94" s="65"/>
      <c r="H94" s="65"/>
      <c r="I94" s="65"/>
      <c r="J94" s="65"/>
      <c r="K94" s="65"/>
      <c r="L94" s="65"/>
      <c r="M94" s="65"/>
      <c r="N94" s="65"/>
      <c r="O94" s="65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1.25" customHeight="1" x14ac:dyDescent="0.25">
      <c r="A95" s="3"/>
      <c r="B95" s="65"/>
      <c r="C95" s="65"/>
      <c r="D95" s="65"/>
      <c r="E95" s="65"/>
      <c r="F95" s="65"/>
      <c r="G95" s="65"/>
      <c r="H95" s="65"/>
      <c r="I95" s="65"/>
      <c r="J95" s="65"/>
      <c r="K95" s="65"/>
      <c r="L95" s="65"/>
      <c r="M95" s="65"/>
      <c r="N95" s="65"/>
      <c r="O95" s="65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1.25" customHeight="1" x14ac:dyDescent="0.25">
      <c r="A96" s="3"/>
      <c r="B96" s="65"/>
      <c r="C96" s="65"/>
      <c r="D96" s="65"/>
      <c r="E96" s="65"/>
      <c r="F96" s="65"/>
      <c r="G96" s="65"/>
      <c r="H96" s="65"/>
      <c r="I96" s="65"/>
      <c r="J96" s="65"/>
      <c r="K96" s="65"/>
      <c r="L96" s="65"/>
      <c r="M96" s="65"/>
      <c r="N96" s="65"/>
      <c r="O96" s="65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1.25" customHeight="1" x14ac:dyDescent="0.25">
      <c r="A97" s="3"/>
      <c r="B97" s="65"/>
      <c r="C97" s="65"/>
      <c r="D97" s="65"/>
      <c r="E97" s="65"/>
      <c r="F97" s="65"/>
      <c r="G97" s="65"/>
      <c r="H97" s="65"/>
      <c r="I97" s="65"/>
      <c r="J97" s="65"/>
      <c r="K97" s="65"/>
      <c r="L97" s="65"/>
      <c r="M97" s="65"/>
      <c r="N97" s="65"/>
      <c r="O97" s="65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1.25" customHeight="1" x14ac:dyDescent="0.25">
      <c r="A98" s="3"/>
      <c r="B98" s="65"/>
      <c r="C98" s="65"/>
      <c r="D98" s="65"/>
      <c r="E98" s="65"/>
      <c r="F98" s="65"/>
      <c r="G98" s="65"/>
      <c r="H98" s="65"/>
      <c r="I98" s="65"/>
      <c r="J98" s="65"/>
      <c r="K98" s="65"/>
      <c r="L98" s="65"/>
      <c r="M98" s="65"/>
      <c r="N98" s="65"/>
      <c r="O98" s="65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1.25" customHeight="1" x14ac:dyDescent="0.25">
      <c r="A99" s="3"/>
      <c r="B99" s="65"/>
      <c r="C99" s="65"/>
      <c r="D99" s="65"/>
      <c r="E99" s="65"/>
      <c r="F99" s="65"/>
      <c r="G99" s="65"/>
      <c r="H99" s="65"/>
      <c r="I99" s="65"/>
      <c r="J99" s="65"/>
      <c r="K99" s="65"/>
      <c r="L99" s="65"/>
      <c r="M99" s="65"/>
      <c r="N99" s="65"/>
      <c r="O99" s="65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1.25" customHeight="1" x14ac:dyDescent="0.25">
      <c r="A100" s="3"/>
      <c r="B100" s="65"/>
      <c r="C100" s="65"/>
      <c r="D100" s="65"/>
      <c r="E100" s="65"/>
      <c r="F100" s="65"/>
      <c r="G100" s="65"/>
      <c r="H100" s="65"/>
      <c r="I100" s="65"/>
      <c r="J100" s="65"/>
      <c r="K100" s="65"/>
      <c r="L100" s="65"/>
      <c r="M100" s="65"/>
      <c r="N100" s="65"/>
      <c r="O100" s="65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1.25" customHeight="1" x14ac:dyDescent="0.25">
      <c r="A101" s="3"/>
      <c r="B101" s="65"/>
      <c r="C101" s="65"/>
      <c r="D101" s="65"/>
      <c r="E101" s="65"/>
      <c r="F101" s="65"/>
      <c r="G101" s="65"/>
      <c r="H101" s="65"/>
      <c r="I101" s="65"/>
      <c r="J101" s="65"/>
      <c r="K101" s="65"/>
      <c r="L101" s="65"/>
      <c r="M101" s="65"/>
      <c r="N101" s="65"/>
      <c r="O101" s="65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1.25" customHeight="1" x14ac:dyDescent="0.25">
      <c r="A102" s="3"/>
      <c r="B102" s="65"/>
      <c r="C102" s="65"/>
      <c r="D102" s="65"/>
      <c r="E102" s="65"/>
      <c r="F102" s="65"/>
      <c r="G102" s="65"/>
      <c r="H102" s="65"/>
      <c r="I102" s="65"/>
      <c r="J102" s="65"/>
      <c r="K102" s="65"/>
      <c r="L102" s="65"/>
      <c r="M102" s="65"/>
      <c r="N102" s="65"/>
      <c r="O102" s="65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1.25" customHeight="1" x14ac:dyDescent="0.25">
      <c r="A103" s="3"/>
      <c r="B103" s="65"/>
      <c r="C103" s="65"/>
      <c r="D103" s="65"/>
      <c r="E103" s="65"/>
      <c r="F103" s="65"/>
      <c r="G103" s="65"/>
      <c r="H103" s="65"/>
      <c r="I103" s="65"/>
      <c r="J103" s="65"/>
      <c r="K103" s="65"/>
      <c r="L103" s="65"/>
      <c r="M103" s="65"/>
      <c r="N103" s="65"/>
      <c r="O103" s="65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1.25" customHeight="1" x14ac:dyDescent="0.25">
      <c r="A104" s="3"/>
      <c r="B104" s="65"/>
      <c r="C104" s="65"/>
      <c r="D104" s="65"/>
      <c r="E104" s="65"/>
      <c r="F104" s="65"/>
      <c r="G104" s="65"/>
      <c r="H104" s="65"/>
      <c r="I104" s="65"/>
      <c r="J104" s="65"/>
      <c r="K104" s="65"/>
      <c r="L104" s="65"/>
      <c r="M104" s="65"/>
      <c r="N104" s="65"/>
      <c r="O104" s="65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1.25" customHeight="1" x14ac:dyDescent="0.25">
      <c r="A105" s="3"/>
      <c r="B105" s="65"/>
      <c r="C105" s="65"/>
      <c r="D105" s="65"/>
      <c r="E105" s="65"/>
      <c r="F105" s="65"/>
      <c r="G105" s="65"/>
      <c r="H105" s="65"/>
      <c r="I105" s="65"/>
      <c r="J105" s="65"/>
      <c r="K105" s="65"/>
      <c r="L105" s="65"/>
      <c r="M105" s="65"/>
      <c r="N105" s="65"/>
      <c r="O105" s="65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1.25" customHeight="1" x14ac:dyDescent="0.25">
      <c r="A106" s="3"/>
      <c r="B106" s="65"/>
      <c r="C106" s="65"/>
      <c r="D106" s="65"/>
      <c r="E106" s="65"/>
      <c r="F106" s="65"/>
      <c r="G106" s="65"/>
      <c r="H106" s="65"/>
      <c r="I106" s="65"/>
      <c r="J106" s="65"/>
      <c r="K106" s="65"/>
      <c r="L106" s="65"/>
      <c r="M106" s="65"/>
      <c r="N106" s="65"/>
      <c r="O106" s="65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1.25" customHeight="1" x14ac:dyDescent="0.25">
      <c r="A107" s="3"/>
      <c r="B107" s="65"/>
      <c r="C107" s="65"/>
      <c r="D107" s="65"/>
      <c r="E107" s="65"/>
      <c r="F107" s="65"/>
      <c r="G107" s="65"/>
      <c r="H107" s="65"/>
      <c r="I107" s="65"/>
      <c r="J107" s="65"/>
      <c r="K107" s="65"/>
      <c r="L107" s="65"/>
      <c r="M107" s="65"/>
      <c r="N107" s="65"/>
      <c r="O107" s="65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1.25" customHeight="1" x14ac:dyDescent="0.25">
      <c r="A108" s="3"/>
      <c r="B108" s="65"/>
      <c r="C108" s="65"/>
      <c r="D108" s="65"/>
      <c r="E108" s="65"/>
      <c r="F108" s="65"/>
      <c r="G108" s="65"/>
      <c r="H108" s="65"/>
      <c r="I108" s="65"/>
      <c r="J108" s="65"/>
      <c r="K108" s="65"/>
      <c r="L108" s="65"/>
      <c r="M108" s="65"/>
      <c r="N108" s="65"/>
      <c r="O108" s="65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1.25" customHeight="1" x14ac:dyDescent="0.25">
      <c r="A109" s="3"/>
      <c r="B109" s="65"/>
      <c r="C109" s="65"/>
      <c r="D109" s="65"/>
      <c r="E109" s="65"/>
      <c r="F109" s="65"/>
      <c r="G109" s="65"/>
      <c r="H109" s="65"/>
      <c r="I109" s="65"/>
      <c r="J109" s="65"/>
      <c r="K109" s="65"/>
      <c r="L109" s="65"/>
      <c r="M109" s="65"/>
      <c r="N109" s="65"/>
      <c r="O109" s="65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1.25" customHeight="1" x14ac:dyDescent="0.25">
      <c r="A110" s="3"/>
      <c r="B110" s="65"/>
      <c r="C110" s="65"/>
      <c r="D110" s="65"/>
      <c r="E110" s="65"/>
      <c r="F110" s="65"/>
      <c r="G110" s="65"/>
      <c r="H110" s="65"/>
      <c r="I110" s="65"/>
      <c r="J110" s="65"/>
      <c r="K110" s="65"/>
      <c r="L110" s="65"/>
      <c r="M110" s="65"/>
      <c r="N110" s="65"/>
      <c r="O110" s="65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1.25" customHeight="1" x14ac:dyDescent="0.25">
      <c r="A111" s="3"/>
      <c r="B111" s="65"/>
      <c r="C111" s="65"/>
      <c r="D111" s="65"/>
      <c r="E111" s="65"/>
      <c r="F111" s="65"/>
      <c r="G111" s="65"/>
      <c r="H111" s="65"/>
      <c r="I111" s="65"/>
      <c r="J111" s="65"/>
      <c r="K111" s="65"/>
      <c r="L111" s="65"/>
      <c r="M111" s="65"/>
      <c r="N111" s="65"/>
      <c r="O111" s="65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1.25" customHeight="1" x14ac:dyDescent="0.25">
      <c r="A112" s="3"/>
      <c r="B112" s="65"/>
      <c r="C112" s="65"/>
      <c r="D112" s="65"/>
      <c r="E112" s="65"/>
      <c r="F112" s="65"/>
      <c r="G112" s="65"/>
      <c r="H112" s="65"/>
      <c r="I112" s="65"/>
      <c r="J112" s="65"/>
      <c r="K112" s="65"/>
      <c r="L112" s="65"/>
      <c r="M112" s="65"/>
      <c r="N112" s="65"/>
      <c r="O112" s="65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1.25" customHeight="1" x14ac:dyDescent="0.25">
      <c r="A113" s="3"/>
      <c r="B113" s="65"/>
      <c r="C113" s="65"/>
      <c r="D113" s="65"/>
      <c r="E113" s="65"/>
      <c r="F113" s="65"/>
      <c r="G113" s="65"/>
      <c r="H113" s="65"/>
      <c r="I113" s="65"/>
      <c r="J113" s="65"/>
      <c r="K113" s="65"/>
      <c r="L113" s="65"/>
      <c r="M113" s="65"/>
      <c r="N113" s="65"/>
      <c r="O113" s="65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1.25" customHeight="1" x14ac:dyDescent="0.25">
      <c r="A114" s="3"/>
      <c r="B114" s="65"/>
      <c r="C114" s="65"/>
      <c r="D114" s="65"/>
      <c r="E114" s="65"/>
      <c r="F114" s="65"/>
      <c r="G114" s="65"/>
      <c r="H114" s="65"/>
      <c r="I114" s="65"/>
      <c r="J114" s="65"/>
      <c r="K114" s="65"/>
      <c r="L114" s="65"/>
      <c r="M114" s="65"/>
      <c r="N114" s="65"/>
      <c r="O114" s="65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1.25" customHeight="1" x14ac:dyDescent="0.25">
      <c r="A115" s="3"/>
      <c r="B115" s="65"/>
      <c r="C115" s="65"/>
      <c r="D115" s="65"/>
      <c r="E115" s="65"/>
      <c r="F115" s="65"/>
      <c r="G115" s="65"/>
      <c r="H115" s="65"/>
      <c r="I115" s="65"/>
      <c r="J115" s="65"/>
      <c r="K115" s="65"/>
      <c r="L115" s="65"/>
      <c r="M115" s="65"/>
      <c r="N115" s="65"/>
      <c r="O115" s="65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1.25" customHeight="1" x14ac:dyDescent="0.25">
      <c r="A116" s="3"/>
      <c r="B116" s="65"/>
      <c r="C116" s="65"/>
      <c r="D116" s="65"/>
      <c r="E116" s="65"/>
      <c r="F116" s="65"/>
      <c r="G116" s="65"/>
      <c r="H116" s="65"/>
      <c r="I116" s="65"/>
      <c r="J116" s="65"/>
      <c r="K116" s="65"/>
      <c r="L116" s="65"/>
      <c r="M116" s="65"/>
      <c r="N116" s="65"/>
      <c r="O116" s="65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1.25" customHeight="1" x14ac:dyDescent="0.25">
      <c r="A117" s="3"/>
      <c r="B117" s="65"/>
      <c r="C117" s="65"/>
      <c r="D117" s="65"/>
      <c r="E117" s="65"/>
      <c r="F117" s="65"/>
      <c r="G117" s="65"/>
      <c r="H117" s="65"/>
      <c r="I117" s="65"/>
      <c r="J117" s="65"/>
      <c r="K117" s="65"/>
      <c r="L117" s="65"/>
      <c r="M117" s="65"/>
      <c r="N117" s="65"/>
      <c r="O117" s="65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1.25" customHeight="1" x14ac:dyDescent="0.25">
      <c r="A118" s="3"/>
      <c r="B118" s="65"/>
      <c r="C118" s="65"/>
      <c r="D118" s="65"/>
      <c r="E118" s="65"/>
      <c r="F118" s="65"/>
      <c r="G118" s="65"/>
      <c r="H118" s="65"/>
      <c r="I118" s="65"/>
      <c r="J118" s="65"/>
      <c r="K118" s="65"/>
      <c r="L118" s="65"/>
      <c r="M118" s="65"/>
      <c r="N118" s="65"/>
      <c r="O118" s="65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1.25" customHeight="1" x14ac:dyDescent="0.25">
      <c r="A119" s="3"/>
      <c r="B119" s="65"/>
      <c r="C119" s="65"/>
      <c r="D119" s="65"/>
      <c r="E119" s="65"/>
      <c r="F119" s="65"/>
      <c r="G119" s="65"/>
      <c r="H119" s="65"/>
      <c r="I119" s="65"/>
      <c r="J119" s="65"/>
      <c r="K119" s="65"/>
      <c r="L119" s="65"/>
      <c r="M119" s="65"/>
      <c r="N119" s="65"/>
      <c r="O119" s="65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1.25" customHeight="1" x14ac:dyDescent="0.25">
      <c r="A120" s="3"/>
      <c r="B120" s="65"/>
      <c r="C120" s="65"/>
      <c r="D120" s="65"/>
      <c r="E120" s="65"/>
      <c r="F120" s="65"/>
      <c r="G120" s="65"/>
      <c r="H120" s="65"/>
      <c r="I120" s="65"/>
      <c r="J120" s="65"/>
      <c r="K120" s="65"/>
      <c r="L120" s="65"/>
      <c r="M120" s="65"/>
      <c r="N120" s="65"/>
      <c r="O120" s="65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1.25" customHeight="1" x14ac:dyDescent="0.25">
      <c r="A121" s="3"/>
      <c r="B121" s="65"/>
      <c r="C121" s="65"/>
      <c r="D121" s="65"/>
      <c r="E121" s="65"/>
      <c r="F121" s="65"/>
      <c r="G121" s="65"/>
      <c r="H121" s="65"/>
      <c r="I121" s="65"/>
      <c r="J121" s="65"/>
      <c r="K121" s="65"/>
      <c r="L121" s="65"/>
      <c r="M121" s="65"/>
      <c r="N121" s="65"/>
      <c r="O121" s="65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1.25" customHeight="1" x14ac:dyDescent="0.25">
      <c r="A122" s="3"/>
      <c r="B122" s="65"/>
      <c r="C122" s="65"/>
      <c r="D122" s="65"/>
      <c r="E122" s="65"/>
      <c r="F122" s="65"/>
      <c r="G122" s="65"/>
      <c r="H122" s="65"/>
      <c r="I122" s="65"/>
      <c r="J122" s="65"/>
      <c r="K122" s="65"/>
      <c r="L122" s="65"/>
      <c r="M122" s="65"/>
      <c r="N122" s="65"/>
      <c r="O122" s="65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1.25" customHeight="1" x14ac:dyDescent="0.25">
      <c r="A123" s="3"/>
      <c r="B123" s="65"/>
      <c r="C123" s="65"/>
      <c r="D123" s="65"/>
      <c r="E123" s="65"/>
      <c r="F123" s="65"/>
      <c r="G123" s="65"/>
      <c r="H123" s="65"/>
      <c r="I123" s="65"/>
      <c r="J123" s="65"/>
      <c r="K123" s="65"/>
      <c r="L123" s="65"/>
      <c r="M123" s="65"/>
      <c r="N123" s="65"/>
      <c r="O123" s="65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1.25" customHeight="1" x14ac:dyDescent="0.25">
      <c r="A124" s="3"/>
      <c r="B124" s="65"/>
      <c r="C124" s="65"/>
      <c r="D124" s="65"/>
      <c r="E124" s="65"/>
      <c r="F124" s="65"/>
      <c r="G124" s="65"/>
      <c r="H124" s="65"/>
      <c r="I124" s="65"/>
      <c r="J124" s="65"/>
      <c r="K124" s="65"/>
      <c r="L124" s="65"/>
      <c r="M124" s="65"/>
      <c r="N124" s="65"/>
      <c r="O124" s="65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1.25" customHeight="1" x14ac:dyDescent="0.25">
      <c r="A125" s="3"/>
      <c r="B125" s="65"/>
      <c r="C125" s="65"/>
      <c r="D125" s="65"/>
      <c r="E125" s="65"/>
      <c r="F125" s="65"/>
      <c r="G125" s="65"/>
      <c r="H125" s="65"/>
      <c r="I125" s="65"/>
      <c r="J125" s="65"/>
      <c r="K125" s="65"/>
      <c r="L125" s="65"/>
      <c r="M125" s="65"/>
      <c r="N125" s="65"/>
      <c r="O125" s="65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1.25" customHeight="1" x14ac:dyDescent="0.25">
      <c r="A126" s="3"/>
      <c r="B126" s="65"/>
      <c r="C126" s="65"/>
      <c r="D126" s="65"/>
      <c r="E126" s="65"/>
      <c r="F126" s="65"/>
      <c r="G126" s="65"/>
      <c r="H126" s="65"/>
      <c r="I126" s="65"/>
      <c r="J126" s="65"/>
      <c r="K126" s="65"/>
      <c r="L126" s="65"/>
      <c r="M126" s="65"/>
      <c r="N126" s="65"/>
      <c r="O126" s="65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1.25" customHeight="1" x14ac:dyDescent="0.25">
      <c r="A127" s="3"/>
      <c r="B127" s="65"/>
      <c r="C127" s="65"/>
      <c r="D127" s="65"/>
      <c r="E127" s="65"/>
      <c r="F127" s="65"/>
      <c r="G127" s="65"/>
      <c r="H127" s="65"/>
      <c r="I127" s="65"/>
      <c r="J127" s="65"/>
      <c r="K127" s="65"/>
      <c r="L127" s="65"/>
      <c r="M127" s="65"/>
      <c r="N127" s="65"/>
      <c r="O127" s="65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1.25" customHeight="1" x14ac:dyDescent="0.25">
      <c r="A128" s="3"/>
      <c r="B128" s="65"/>
      <c r="C128" s="65"/>
      <c r="D128" s="65"/>
      <c r="E128" s="65"/>
      <c r="F128" s="65"/>
      <c r="G128" s="65"/>
      <c r="H128" s="65"/>
      <c r="I128" s="65"/>
      <c r="J128" s="65"/>
      <c r="K128" s="65"/>
      <c r="L128" s="65"/>
      <c r="M128" s="65"/>
      <c r="N128" s="65"/>
      <c r="O128" s="65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1.25" customHeight="1" x14ac:dyDescent="0.25">
      <c r="A129" s="3"/>
      <c r="B129" s="65"/>
      <c r="C129" s="65"/>
      <c r="D129" s="65"/>
      <c r="E129" s="65"/>
      <c r="F129" s="65"/>
      <c r="G129" s="65"/>
      <c r="H129" s="65"/>
      <c r="I129" s="65"/>
      <c r="J129" s="65"/>
      <c r="K129" s="65"/>
      <c r="L129" s="65"/>
      <c r="M129" s="65"/>
      <c r="N129" s="65"/>
      <c r="O129" s="65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1.25" customHeight="1" x14ac:dyDescent="0.25">
      <c r="A130" s="3"/>
      <c r="B130" s="65"/>
      <c r="C130" s="65"/>
      <c r="D130" s="65"/>
      <c r="E130" s="65"/>
      <c r="F130" s="65"/>
      <c r="G130" s="65"/>
      <c r="H130" s="65"/>
      <c r="I130" s="65"/>
      <c r="J130" s="65"/>
      <c r="K130" s="65"/>
      <c r="L130" s="65"/>
      <c r="M130" s="65"/>
      <c r="N130" s="65"/>
      <c r="O130" s="65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1.25" customHeight="1" x14ac:dyDescent="0.25">
      <c r="A131" s="3"/>
      <c r="B131" s="65"/>
      <c r="C131" s="65"/>
      <c r="D131" s="65"/>
      <c r="E131" s="65"/>
      <c r="F131" s="65"/>
      <c r="G131" s="65"/>
      <c r="H131" s="65"/>
      <c r="I131" s="65"/>
      <c r="J131" s="65"/>
      <c r="K131" s="65"/>
      <c r="L131" s="65"/>
      <c r="M131" s="65"/>
      <c r="N131" s="65"/>
      <c r="O131" s="65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1.25" customHeight="1" x14ac:dyDescent="0.25">
      <c r="A132" s="3"/>
      <c r="B132" s="65"/>
      <c r="C132" s="65"/>
      <c r="D132" s="65"/>
      <c r="E132" s="65"/>
      <c r="F132" s="65"/>
      <c r="G132" s="65"/>
      <c r="H132" s="65"/>
      <c r="I132" s="65"/>
      <c r="J132" s="65"/>
      <c r="K132" s="65"/>
      <c r="L132" s="65"/>
      <c r="M132" s="65"/>
      <c r="N132" s="65"/>
      <c r="O132" s="65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1.25" customHeight="1" x14ac:dyDescent="0.25">
      <c r="A133" s="3"/>
      <c r="B133" s="65"/>
      <c r="C133" s="65"/>
      <c r="D133" s="65"/>
      <c r="E133" s="65"/>
      <c r="F133" s="65"/>
      <c r="G133" s="65"/>
      <c r="H133" s="65"/>
      <c r="I133" s="65"/>
      <c r="J133" s="65"/>
      <c r="K133" s="65"/>
      <c r="L133" s="65"/>
      <c r="M133" s="65"/>
      <c r="N133" s="65"/>
      <c r="O133" s="65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1.25" customHeight="1" x14ac:dyDescent="0.25">
      <c r="A134" s="3"/>
      <c r="B134" s="65"/>
      <c r="C134" s="65"/>
      <c r="D134" s="65"/>
      <c r="E134" s="65"/>
      <c r="F134" s="65"/>
      <c r="G134" s="65"/>
      <c r="H134" s="65"/>
      <c r="I134" s="65"/>
      <c r="J134" s="65"/>
      <c r="K134" s="65"/>
      <c r="L134" s="65"/>
      <c r="M134" s="65"/>
      <c r="N134" s="65"/>
      <c r="O134" s="65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1.25" customHeight="1" x14ac:dyDescent="0.25">
      <c r="A135" s="3"/>
      <c r="B135" s="65"/>
      <c r="C135" s="65"/>
      <c r="D135" s="65"/>
      <c r="E135" s="65"/>
      <c r="F135" s="65"/>
      <c r="G135" s="65"/>
      <c r="H135" s="65"/>
      <c r="I135" s="65"/>
      <c r="J135" s="65"/>
      <c r="K135" s="65"/>
      <c r="L135" s="65"/>
      <c r="M135" s="65"/>
      <c r="N135" s="65"/>
      <c r="O135" s="65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1.25" customHeight="1" x14ac:dyDescent="0.25">
      <c r="A136" s="3"/>
      <c r="B136" s="65"/>
      <c r="C136" s="65"/>
      <c r="D136" s="65"/>
      <c r="E136" s="65"/>
      <c r="F136" s="65"/>
      <c r="G136" s="65"/>
      <c r="H136" s="65"/>
      <c r="I136" s="65"/>
      <c r="J136" s="65"/>
      <c r="K136" s="65"/>
      <c r="L136" s="65"/>
      <c r="M136" s="65"/>
      <c r="N136" s="65"/>
      <c r="O136" s="65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1.25" customHeight="1" x14ac:dyDescent="0.25">
      <c r="A137" s="3"/>
      <c r="B137" s="65"/>
      <c r="C137" s="65"/>
      <c r="D137" s="65"/>
      <c r="E137" s="65"/>
      <c r="F137" s="65"/>
      <c r="G137" s="65"/>
      <c r="H137" s="65"/>
      <c r="I137" s="65"/>
      <c r="J137" s="65"/>
      <c r="K137" s="65"/>
      <c r="L137" s="65"/>
      <c r="M137" s="65"/>
      <c r="N137" s="65"/>
      <c r="O137" s="65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1.25" customHeight="1" x14ac:dyDescent="0.25">
      <c r="A138" s="3"/>
      <c r="B138" s="65"/>
      <c r="C138" s="65"/>
      <c r="D138" s="65"/>
      <c r="E138" s="65"/>
      <c r="F138" s="65"/>
      <c r="G138" s="65"/>
      <c r="H138" s="65"/>
      <c r="I138" s="65"/>
      <c r="J138" s="65"/>
      <c r="K138" s="65"/>
      <c r="L138" s="65"/>
      <c r="M138" s="65"/>
      <c r="N138" s="65"/>
      <c r="O138" s="65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1.25" customHeight="1" x14ac:dyDescent="0.25">
      <c r="A139" s="3"/>
      <c r="B139" s="65"/>
      <c r="C139" s="65"/>
      <c r="D139" s="65"/>
      <c r="E139" s="65"/>
      <c r="F139" s="65"/>
      <c r="G139" s="65"/>
      <c r="H139" s="65"/>
      <c r="I139" s="65"/>
      <c r="J139" s="65"/>
      <c r="K139" s="65"/>
      <c r="L139" s="65"/>
      <c r="M139" s="65"/>
      <c r="N139" s="65"/>
      <c r="O139" s="65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1.25" customHeight="1" x14ac:dyDescent="0.25">
      <c r="A140" s="3"/>
      <c r="B140" s="65"/>
      <c r="C140" s="65"/>
      <c r="D140" s="65"/>
      <c r="E140" s="65"/>
      <c r="F140" s="65"/>
      <c r="G140" s="65"/>
      <c r="H140" s="65"/>
      <c r="I140" s="65"/>
      <c r="J140" s="65"/>
      <c r="K140" s="65"/>
      <c r="L140" s="65"/>
      <c r="M140" s="65"/>
      <c r="N140" s="65"/>
      <c r="O140" s="65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1.25" customHeight="1" x14ac:dyDescent="0.25">
      <c r="A141" s="3"/>
      <c r="B141" s="65"/>
      <c r="C141" s="65"/>
      <c r="D141" s="65"/>
      <c r="E141" s="65"/>
      <c r="F141" s="65"/>
      <c r="G141" s="65"/>
      <c r="H141" s="65"/>
      <c r="I141" s="65"/>
      <c r="J141" s="65"/>
      <c r="K141" s="65"/>
      <c r="L141" s="65"/>
      <c r="M141" s="65"/>
      <c r="N141" s="65"/>
      <c r="O141" s="65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1.25" customHeight="1" x14ac:dyDescent="0.25">
      <c r="A142" s="3"/>
      <c r="B142" s="65"/>
      <c r="C142" s="65"/>
      <c r="D142" s="65"/>
      <c r="E142" s="65"/>
      <c r="F142" s="65"/>
      <c r="G142" s="65"/>
      <c r="H142" s="65"/>
      <c r="I142" s="65"/>
      <c r="J142" s="65"/>
      <c r="K142" s="65"/>
      <c r="L142" s="65"/>
      <c r="M142" s="65"/>
      <c r="N142" s="65"/>
      <c r="O142" s="65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1.25" customHeight="1" x14ac:dyDescent="0.25">
      <c r="A143" s="3"/>
      <c r="B143" s="65"/>
      <c r="C143" s="65"/>
      <c r="D143" s="65"/>
      <c r="E143" s="65"/>
      <c r="F143" s="65"/>
      <c r="G143" s="65"/>
      <c r="H143" s="65"/>
      <c r="I143" s="65"/>
      <c r="J143" s="65"/>
      <c r="K143" s="65"/>
      <c r="L143" s="65"/>
      <c r="M143" s="65"/>
      <c r="N143" s="65"/>
      <c r="O143" s="65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1.25" customHeight="1" x14ac:dyDescent="0.25">
      <c r="A144" s="3"/>
      <c r="B144" s="65"/>
      <c r="C144" s="65"/>
      <c r="D144" s="65"/>
      <c r="E144" s="65"/>
      <c r="F144" s="65"/>
      <c r="G144" s="65"/>
      <c r="H144" s="65"/>
      <c r="I144" s="65"/>
      <c r="J144" s="65"/>
      <c r="K144" s="65"/>
      <c r="L144" s="65"/>
      <c r="M144" s="65"/>
      <c r="N144" s="65"/>
      <c r="O144" s="65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1.25" customHeight="1" x14ac:dyDescent="0.25">
      <c r="A145" s="3"/>
      <c r="B145" s="65"/>
      <c r="C145" s="65"/>
      <c r="D145" s="65"/>
      <c r="E145" s="65"/>
      <c r="F145" s="65"/>
      <c r="G145" s="65"/>
      <c r="H145" s="65"/>
      <c r="I145" s="65"/>
      <c r="J145" s="65"/>
      <c r="K145" s="65"/>
      <c r="L145" s="65"/>
      <c r="M145" s="65"/>
      <c r="N145" s="65"/>
      <c r="O145" s="65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1.25" customHeight="1" x14ac:dyDescent="0.25">
      <c r="A146" s="3"/>
      <c r="B146" s="65"/>
      <c r="C146" s="65"/>
      <c r="D146" s="65"/>
      <c r="E146" s="65"/>
      <c r="F146" s="65"/>
      <c r="G146" s="65"/>
      <c r="H146" s="65"/>
      <c r="I146" s="65"/>
      <c r="J146" s="65"/>
      <c r="K146" s="65"/>
      <c r="L146" s="65"/>
      <c r="M146" s="65"/>
      <c r="N146" s="65"/>
      <c r="O146" s="65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1.25" customHeight="1" x14ac:dyDescent="0.25">
      <c r="A147" s="3"/>
      <c r="B147" s="65"/>
      <c r="C147" s="65"/>
      <c r="D147" s="65"/>
      <c r="E147" s="65"/>
      <c r="F147" s="65"/>
      <c r="G147" s="65"/>
      <c r="H147" s="65"/>
      <c r="I147" s="65"/>
      <c r="J147" s="65"/>
      <c r="K147" s="65"/>
      <c r="L147" s="65"/>
      <c r="M147" s="65"/>
      <c r="N147" s="65"/>
      <c r="O147" s="65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1.25" customHeight="1" x14ac:dyDescent="0.25">
      <c r="A148" s="3"/>
      <c r="B148" s="65"/>
      <c r="C148" s="65"/>
      <c r="D148" s="65"/>
      <c r="E148" s="65"/>
      <c r="F148" s="65"/>
      <c r="G148" s="65"/>
      <c r="H148" s="65"/>
      <c r="I148" s="65"/>
      <c r="J148" s="65"/>
      <c r="K148" s="65"/>
      <c r="L148" s="65"/>
      <c r="M148" s="65"/>
      <c r="N148" s="65"/>
      <c r="O148" s="65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1.25" customHeight="1" x14ac:dyDescent="0.25">
      <c r="A149" s="3"/>
      <c r="B149" s="65"/>
      <c r="C149" s="65"/>
      <c r="D149" s="65"/>
      <c r="E149" s="65"/>
      <c r="F149" s="65"/>
      <c r="G149" s="65"/>
      <c r="H149" s="65"/>
      <c r="I149" s="65"/>
      <c r="J149" s="65"/>
      <c r="K149" s="65"/>
      <c r="L149" s="65"/>
      <c r="M149" s="65"/>
      <c r="N149" s="65"/>
      <c r="O149" s="65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1.25" customHeight="1" x14ac:dyDescent="0.25">
      <c r="A150" s="3"/>
      <c r="B150" s="65"/>
      <c r="C150" s="65"/>
      <c r="D150" s="65"/>
      <c r="E150" s="65"/>
      <c r="F150" s="65"/>
      <c r="G150" s="65"/>
      <c r="H150" s="65"/>
      <c r="I150" s="65"/>
      <c r="J150" s="65"/>
      <c r="K150" s="65"/>
      <c r="L150" s="65"/>
      <c r="M150" s="65"/>
      <c r="N150" s="65"/>
      <c r="O150" s="65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1.25" customHeight="1" x14ac:dyDescent="0.25">
      <c r="A151" s="3"/>
      <c r="B151" s="65"/>
      <c r="C151" s="65"/>
      <c r="D151" s="65"/>
      <c r="E151" s="65"/>
      <c r="F151" s="65"/>
      <c r="G151" s="65"/>
      <c r="H151" s="65"/>
      <c r="I151" s="65"/>
      <c r="J151" s="65"/>
      <c r="K151" s="65"/>
      <c r="L151" s="65"/>
      <c r="M151" s="65"/>
      <c r="N151" s="65"/>
      <c r="O151" s="65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1.25" customHeight="1" x14ac:dyDescent="0.25">
      <c r="A152" s="3"/>
      <c r="B152" s="65"/>
      <c r="C152" s="65"/>
      <c r="D152" s="65"/>
      <c r="E152" s="65"/>
      <c r="F152" s="65"/>
      <c r="G152" s="65"/>
      <c r="H152" s="65"/>
      <c r="I152" s="65"/>
      <c r="J152" s="65"/>
      <c r="K152" s="65"/>
      <c r="L152" s="65"/>
      <c r="M152" s="65"/>
      <c r="N152" s="65"/>
      <c r="O152" s="65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1.25" customHeight="1" x14ac:dyDescent="0.25">
      <c r="A153" s="3"/>
      <c r="B153" s="65"/>
      <c r="C153" s="65"/>
      <c r="D153" s="65"/>
      <c r="E153" s="65"/>
      <c r="F153" s="65"/>
      <c r="G153" s="65"/>
      <c r="H153" s="65"/>
      <c r="I153" s="65"/>
      <c r="J153" s="65"/>
      <c r="K153" s="65"/>
      <c r="L153" s="65"/>
      <c r="M153" s="65"/>
      <c r="N153" s="65"/>
      <c r="O153" s="65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1.25" customHeight="1" x14ac:dyDescent="0.25">
      <c r="A154" s="3"/>
      <c r="B154" s="65"/>
      <c r="C154" s="65"/>
      <c r="D154" s="65"/>
      <c r="E154" s="65"/>
      <c r="F154" s="65"/>
      <c r="G154" s="65"/>
      <c r="H154" s="65"/>
      <c r="I154" s="65"/>
      <c r="J154" s="65"/>
      <c r="K154" s="65"/>
      <c r="L154" s="65"/>
      <c r="M154" s="65"/>
      <c r="N154" s="65"/>
      <c r="O154" s="65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1.25" customHeight="1" x14ac:dyDescent="0.25">
      <c r="A155" s="3"/>
      <c r="B155" s="65"/>
      <c r="C155" s="65"/>
      <c r="D155" s="65"/>
      <c r="E155" s="65"/>
      <c r="F155" s="65"/>
      <c r="G155" s="65"/>
      <c r="H155" s="65"/>
      <c r="I155" s="65"/>
      <c r="J155" s="65"/>
      <c r="K155" s="65"/>
      <c r="L155" s="65"/>
      <c r="M155" s="65"/>
      <c r="N155" s="65"/>
      <c r="O155" s="65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1.25" customHeight="1" x14ac:dyDescent="0.25">
      <c r="A156" s="3"/>
      <c r="B156" s="65"/>
      <c r="C156" s="65"/>
      <c r="D156" s="65"/>
      <c r="E156" s="65"/>
      <c r="F156" s="65"/>
      <c r="G156" s="65"/>
      <c r="H156" s="65"/>
      <c r="I156" s="65"/>
      <c r="J156" s="65"/>
      <c r="K156" s="65"/>
      <c r="L156" s="65"/>
      <c r="M156" s="65"/>
      <c r="N156" s="65"/>
      <c r="O156" s="65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1.25" customHeight="1" x14ac:dyDescent="0.25">
      <c r="A157" s="3"/>
      <c r="B157" s="65"/>
      <c r="C157" s="65"/>
      <c r="D157" s="65"/>
      <c r="E157" s="65"/>
      <c r="F157" s="65"/>
      <c r="G157" s="65"/>
      <c r="H157" s="65"/>
      <c r="I157" s="65"/>
      <c r="J157" s="65"/>
      <c r="K157" s="65"/>
      <c r="L157" s="65"/>
      <c r="M157" s="65"/>
      <c r="N157" s="65"/>
      <c r="O157" s="65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1.25" customHeight="1" x14ac:dyDescent="0.25">
      <c r="A158" s="3"/>
      <c r="B158" s="65"/>
      <c r="C158" s="65"/>
      <c r="D158" s="65"/>
      <c r="E158" s="65"/>
      <c r="F158" s="65"/>
      <c r="G158" s="65"/>
      <c r="H158" s="65"/>
      <c r="I158" s="65"/>
      <c r="J158" s="65"/>
      <c r="K158" s="65"/>
      <c r="L158" s="65"/>
      <c r="M158" s="65"/>
      <c r="N158" s="65"/>
      <c r="O158" s="65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1.25" customHeight="1" x14ac:dyDescent="0.25">
      <c r="A159" s="3"/>
      <c r="B159" s="65"/>
      <c r="C159" s="65"/>
      <c r="D159" s="65"/>
      <c r="E159" s="65"/>
      <c r="F159" s="65"/>
      <c r="G159" s="65"/>
      <c r="H159" s="65"/>
      <c r="I159" s="65"/>
      <c r="J159" s="65"/>
      <c r="K159" s="65"/>
      <c r="L159" s="65"/>
      <c r="M159" s="65"/>
      <c r="N159" s="65"/>
      <c r="O159" s="65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1.25" customHeight="1" x14ac:dyDescent="0.25">
      <c r="A160" s="3"/>
      <c r="B160" s="65"/>
      <c r="C160" s="65"/>
      <c r="D160" s="65"/>
      <c r="E160" s="65"/>
      <c r="F160" s="65"/>
      <c r="G160" s="65"/>
      <c r="H160" s="65"/>
      <c r="I160" s="65"/>
      <c r="J160" s="65"/>
      <c r="K160" s="65"/>
      <c r="L160" s="65"/>
      <c r="M160" s="65"/>
      <c r="N160" s="65"/>
      <c r="O160" s="65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1.25" customHeight="1" x14ac:dyDescent="0.25">
      <c r="A161" s="3"/>
      <c r="B161" s="65"/>
      <c r="C161" s="65"/>
      <c r="D161" s="65"/>
      <c r="E161" s="65"/>
      <c r="F161" s="65"/>
      <c r="G161" s="65"/>
      <c r="H161" s="65"/>
      <c r="I161" s="65"/>
      <c r="J161" s="65"/>
      <c r="K161" s="65"/>
      <c r="L161" s="65"/>
      <c r="M161" s="65"/>
      <c r="N161" s="65"/>
      <c r="O161" s="65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1.25" customHeight="1" x14ac:dyDescent="0.25">
      <c r="A162" s="3"/>
      <c r="B162" s="65"/>
      <c r="C162" s="65"/>
      <c r="D162" s="65"/>
      <c r="E162" s="65"/>
      <c r="F162" s="65"/>
      <c r="G162" s="65"/>
      <c r="H162" s="65"/>
      <c r="I162" s="65"/>
      <c r="J162" s="65"/>
      <c r="K162" s="65"/>
      <c r="L162" s="65"/>
      <c r="M162" s="65"/>
      <c r="N162" s="65"/>
      <c r="O162" s="65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1.25" customHeight="1" x14ac:dyDescent="0.25">
      <c r="A163" s="3"/>
      <c r="B163" s="65"/>
      <c r="C163" s="65"/>
      <c r="D163" s="65"/>
      <c r="E163" s="65"/>
      <c r="F163" s="65"/>
      <c r="G163" s="65"/>
      <c r="H163" s="65"/>
      <c r="I163" s="65"/>
      <c r="J163" s="65"/>
      <c r="K163" s="65"/>
      <c r="L163" s="65"/>
      <c r="M163" s="65"/>
      <c r="N163" s="65"/>
      <c r="O163" s="65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1.25" customHeight="1" x14ac:dyDescent="0.25">
      <c r="A164" s="3"/>
      <c r="B164" s="65"/>
      <c r="C164" s="65"/>
      <c r="D164" s="65"/>
      <c r="E164" s="65"/>
      <c r="F164" s="65"/>
      <c r="G164" s="65"/>
      <c r="H164" s="65"/>
      <c r="I164" s="65"/>
      <c r="J164" s="65"/>
      <c r="K164" s="65"/>
      <c r="L164" s="65"/>
      <c r="M164" s="65"/>
      <c r="N164" s="65"/>
      <c r="O164" s="65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1.25" customHeight="1" x14ac:dyDescent="0.25">
      <c r="A165" s="3"/>
      <c r="B165" s="65"/>
      <c r="C165" s="65"/>
      <c r="D165" s="65"/>
      <c r="E165" s="65"/>
      <c r="F165" s="65"/>
      <c r="G165" s="65"/>
      <c r="H165" s="65"/>
      <c r="I165" s="65"/>
      <c r="J165" s="65"/>
      <c r="K165" s="65"/>
      <c r="L165" s="65"/>
      <c r="M165" s="65"/>
      <c r="N165" s="65"/>
      <c r="O165" s="65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1.25" customHeight="1" x14ac:dyDescent="0.25">
      <c r="A166" s="3"/>
      <c r="B166" s="65"/>
      <c r="C166" s="65"/>
      <c r="D166" s="65"/>
      <c r="E166" s="65"/>
      <c r="F166" s="65"/>
      <c r="G166" s="65"/>
      <c r="H166" s="65"/>
      <c r="I166" s="65"/>
      <c r="J166" s="65"/>
      <c r="K166" s="65"/>
      <c r="L166" s="65"/>
      <c r="M166" s="65"/>
      <c r="N166" s="65"/>
      <c r="O166" s="65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1.25" customHeight="1" x14ac:dyDescent="0.25">
      <c r="A167" s="3"/>
      <c r="B167" s="65"/>
      <c r="C167" s="65"/>
      <c r="D167" s="65"/>
      <c r="E167" s="65"/>
      <c r="F167" s="65"/>
      <c r="G167" s="65"/>
      <c r="H167" s="65"/>
      <c r="I167" s="65"/>
      <c r="J167" s="65"/>
      <c r="K167" s="65"/>
      <c r="L167" s="65"/>
      <c r="M167" s="65"/>
      <c r="N167" s="65"/>
      <c r="O167" s="65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1.25" customHeight="1" x14ac:dyDescent="0.25">
      <c r="A168" s="3"/>
      <c r="B168" s="65"/>
      <c r="C168" s="65"/>
      <c r="D168" s="65"/>
      <c r="E168" s="65"/>
      <c r="F168" s="65"/>
      <c r="G168" s="65"/>
      <c r="H168" s="65"/>
      <c r="I168" s="65"/>
      <c r="J168" s="65"/>
      <c r="K168" s="65"/>
      <c r="L168" s="65"/>
      <c r="M168" s="65"/>
      <c r="N168" s="65"/>
      <c r="O168" s="65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1.25" customHeight="1" x14ac:dyDescent="0.25">
      <c r="A169" s="3"/>
      <c r="B169" s="65"/>
      <c r="C169" s="65"/>
      <c r="D169" s="65"/>
      <c r="E169" s="65"/>
      <c r="F169" s="65"/>
      <c r="G169" s="65"/>
      <c r="H169" s="65"/>
      <c r="I169" s="65"/>
      <c r="J169" s="65"/>
      <c r="K169" s="65"/>
      <c r="L169" s="65"/>
      <c r="M169" s="65"/>
      <c r="N169" s="65"/>
      <c r="O169" s="65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1.25" customHeight="1" x14ac:dyDescent="0.25">
      <c r="A170" s="3"/>
      <c r="B170" s="65"/>
      <c r="C170" s="65"/>
      <c r="D170" s="65"/>
      <c r="E170" s="65"/>
      <c r="F170" s="65"/>
      <c r="G170" s="65"/>
      <c r="H170" s="65"/>
      <c r="I170" s="65"/>
      <c r="J170" s="65"/>
      <c r="K170" s="65"/>
      <c r="L170" s="65"/>
      <c r="M170" s="65"/>
      <c r="N170" s="65"/>
      <c r="O170" s="65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1.25" customHeight="1" x14ac:dyDescent="0.25">
      <c r="A171" s="3"/>
      <c r="B171" s="65"/>
      <c r="C171" s="65"/>
      <c r="D171" s="65"/>
      <c r="E171" s="65"/>
      <c r="F171" s="65"/>
      <c r="G171" s="65"/>
      <c r="H171" s="65"/>
      <c r="I171" s="65"/>
      <c r="J171" s="65"/>
      <c r="K171" s="65"/>
      <c r="L171" s="65"/>
      <c r="M171" s="65"/>
      <c r="N171" s="65"/>
      <c r="O171" s="65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1.25" customHeight="1" x14ac:dyDescent="0.25">
      <c r="A172" s="3"/>
      <c r="B172" s="65"/>
      <c r="C172" s="65"/>
      <c r="D172" s="65"/>
      <c r="E172" s="65"/>
      <c r="F172" s="65"/>
      <c r="G172" s="65"/>
      <c r="H172" s="65"/>
      <c r="I172" s="65"/>
      <c r="J172" s="65"/>
      <c r="K172" s="65"/>
      <c r="L172" s="65"/>
      <c r="M172" s="65"/>
      <c r="N172" s="65"/>
      <c r="O172" s="65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1.25" customHeight="1" x14ac:dyDescent="0.25">
      <c r="A173" s="3"/>
      <c r="B173" s="65"/>
      <c r="C173" s="65"/>
      <c r="D173" s="65"/>
      <c r="E173" s="65"/>
      <c r="F173" s="65"/>
      <c r="G173" s="65"/>
      <c r="H173" s="65"/>
      <c r="I173" s="65"/>
      <c r="J173" s="65"/>
      <c r="K173" s="65"/>
      <c r="L173" s="65"/>
      <c r="M173" s="65"/>
      <c r="N173" s="65"/>
      <c r="O173" s="65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1.25" customHeight="1" x14ac:dyDescent="0.25">
      <c r="A174" s="3"/>
      <c r="B174" s="65"/>
      <c r="C174" s="65"/>
      <c r="D174" s="65"/>
      <c r="E174" s="65"/>
      <c r="F174" s="65"/>
      <c r="G174" s="65"/>
      <c r="H174" s="65"/>
      <c r="I174" s="65"/>
      <c r="J174" s="65"/>
      <c r="K174" s="65"/>
      <c r="L174" s="65"/>
      <c r="M174" s="65"/>
      <c r="N174" s="65"/>
      <c r="O174" s="65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1.25" customHeight="1" x14ac:dyDescent="0.25">
      <c r="A175" s="3"/>
      <c r="B175" s="65"/>
      <c r="C175" s="65"/>
      <c r="D175" s="65"/>
      <c r="E175" s="65"/>
      <c r="F175" s="65"/>
      <c r="G175" s="65"/>
      <c r="H175" s="65"/>
      <c r="I175" s="65"/>
      <c r="J175" s="65"/>
      <c r="K175" s="65"/>
      <c r="L175" s="65"/>
      <c r="M175" s="65"/>
      <c r="N175" s="65"/>
      <c r="O175" s="65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1.25" customHeight="1" x14ac:dyDescent="0.25">
      <c r="A176" s="3"/>
      <c r="B176" s="65"/>
      <c r="C176" s="65"/>
      <c r="D176" s="65"/>
      <c r="E176" s="65"/>
      <c r="F176" s="65"/>
      <c r="G176" s="65"/>
      <c r="H176" s="65"/>
      <c r="I176" s="65"/>
      <c r="J176" s="65"/>
      <c r="K176" s="65"/>
      <c r="L176" s="65"/>
      <c r="M176" s="65"/>
      <c r="N176" s="65"/>
      <c r="O176" s="65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1.25" customHeight="1" x14ac:dyDescent="0.25">
      <c r="A177" s="3"/>
      <c r="B177" s="65"/>
      <c r="C177" s="65"/>
      <c r="D177" s="65"/>
      <c r="E177" s="65"/>
      <c r="F177" s="65"/>
      <c r="G177" s="65"/>
      <c r="H177" s="65"/>
      <c r="I177" s="65"/>
      <c r="J177" s="65"/>
      <c r="K177" s="65"/>
      <c r="L177" s="65"/>
      <c r="M177" s="65"/>
      <c r="N177" s="65"/>
      <c r="O177" s="65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1.25" customHeight="1" x14ac:dyDescent="0.25">
      <c r="A178" s="3"/>
      <c r="B178" s="65"/>
      <c r="C178" s="65"/>
      <c r="D178" s="65"/>
      <c r="E178" s="65"/>
      <c r="F178" s="65"/>
      <c r="G178" s="65"/>
      <c r="H178" s="65"/>
      <c r="I178" s="65"/>
      <c r="J178" s="65"/>
      <c r="K178" s="65"/>
      <c r="L178" s="65"/>
      <c r="M178" s="65"/>
      <c r="N178" s="65"/>
      <c r="O178" s="65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1.25" customHeight="1" x14ac:dyDescent="0.25">
      <c r="A179" s="3"/>
      <c r="B179" s="65"/>
      <c r="C179" s="65"/>
      <c r="D179" s="65"/>
      <c r="E179" s="65"/>
      <c r="F179" s="65"/>
      <c r="G179" s="65"/>
      <c r="H179" s="65"/>
      <c r="I179" s="65"/>
      <c r="J179" s="65"/>
      <c r="K179" s="65"/>
      <c r="L179" s="65"/>
      <c r="M179" s="65"/>
      <c r="N179" s="65"/>
      <c r="O179" s="65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1.25" customHeight="1" x14ac:dyDescent="0.25">
      <c r="A180" s="3"/>
      <c r="B180" s="65"/>
      <c r="C180" s="65"/>
      <c r="D180" s="65"/>
      <c r="E180" s="65"/>
      <c r="F180" s="65"/>
      <c r="G180" s="65"/>
      <c r="H180" s="65"/>
      <c r="I180" s="65"/>
      <c r="J180" s="65"/>
      <c r="K180" s="65"/>
      <c r="L180" s="65"/>
      <c r="M180" s="65"/>
      <c r="N180" s="65"/>
      <c r="O180" s="65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1.25" customHeight="1" x14ac:dyDescent="0.25">
      <c r="A181" s="3"/>
      <c r="B181" s="65"/>
      <c r="C181" s="65"/>
      <c r="D181" s="65"/>
      <c r="E181" s="65"/>
      <c r="F181" s="65"/>
      <c r="G181" s="65"/>
      <c r="H181" s="65"/>
      <c r="I181" s="65"/>
      <c r="J181" s="65"/>
      <c r="K181" s="65"/>
      <c r="L181" s="65"/>
      <c r="M181" s="65"/>
      <c r="N181" s="65"/>
      <c r="O181" s="65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1.25" customHeight="1" x14ac:dyDescent="0.25">
      <c r="A182" s="3"/>
      <c r="B182" s="65"/>
      <c r="C182" s="65"/>
      <c r="D182" s="65"/>
      <c r="E182" s="65"/>
      <c r="F182" s="65"/>
      <c r="G182" s="65"/>
      <c r="H182" s="65"/>
      <c r="I182" s="65"/>
      <c r="J182" s="65"/>
      <c r="K182" s="65"/>
      <c r="L182" s="65"/>
      <c r="M182" s="65"/>
      <c r="N182" s="65"/>
      <c r="O182" s="65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1.25" customHeight="1" x14ac:dyDescent="0.25">
      <c r="A183" s="3"/>
      <c r="B183" s="65"/>
      <c r="C183" s="65"/>
      <c r="D183" s="65"/>
      <c r="E183" s="65"/>
      <c r="F183" s="65"/>
      <c r="G183" s="65"/>
      <c r="H183" s="65"/>
      <c r="I183" s="65"/>
      <c r="J183" s="65"/>
      <c r="K183" s="65"/>
      <c r="L183" s="65"/>
      <c r="M183" s="65"/>
      <c r="N183" s="65"/>
      <c r="O183" s="65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1.25" customHeight="1" x14ac:dyDescent="0.25">
      <c r="A184" s="3"/>
      <c r="B184" s="65"/>
      <c r="C184" s="65"/>
      <c r="D184" s="65"/>
      <c r="E184" s="65"/>
      <c r="F184" s="65"/>
      <c r="G184" s="65"/>
      <c r="H184" s="65"/>
      <c r="I184" s="65"/>
      <c r="J184" s="65"/>
      <c r="K184" s="65"/>
      <c r="L184" s="65"/>
      <c r="M184" s="65"/>
      <c r="N184" s="65"/>
      <c r="O184" s="65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1.25" customHeight="1" x14ac:dyDescent="0.25">
      <c r="A185" s="3"/>
      <c r="B185" s="65"/>
      <c r="C185" s="65"/>
      <c r="D185" s="65"/>
      <c r="E185" s="65"/>
      <c r="F185" s="65"/>
      <c r="G185" s="65"/>
      <c r="H185" s="65"/>
      <c r="I185" s="65"/>
      <c r="J185" s="65"/>
      <c r="K185" s="65"/>
      <c r="L185" s="65"/>
      <c r="M185" s="65"/>
      <c r="N185" s="65"/>
      <c r="O185" s="65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1.25" customHeight="1" x14ac:dyDescent="0.25">
      <c r="A186" s="3"/>
      <c r="B186" s="65"/>
      <c r="C186" s="65"/>
      <c r="D186" s="65"/>
      <c r="E186" s="65"/>
      <c r="F186" s="65"/>
      <c r="G186" s="65"/>
      <c r="H186" s="65"/>
      <c r="I186" s="65"/>
      <c r="J186" s="65"/>
      <c r="K186" s="65"/>
      <c r="L186" s="65"/>
      <c r="M186" s="65"/>
      <c r="N186" s="65"/>
      <c r="O186" s="65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1.25" customHeight="1" x14ac:dyDescent="0.25">
      <c r="A187" s="3"/>
      <c r="B187" s="65"/>
      <c r="C187" s="65"/>
      <c r="D187" s="65"/>
      <c r="E187" s="65"/>
      <c r="F187" s="65"/>
      <c r="G187" s="65"/>
      <c r="H187" s="65"/>
      <c r="I187" s="65"/>
      <c r="J187" s="65"/>
      <c r="K187" s="65"/>
      <c r="L187" s="65"/>
      <c r="M187" s="65"/>
      <c r="N187" s="65"/>
      <c r="O187" s="65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1.25" customHeight="1" x14ac:dyDescent="0.25">
      <c r="A188" s="3"/>
      <c r="B188" s="65"/>
      <c r="C188" s="65"/>
      <c r="D188" s="65"/>
      <c r="E188" s="65"/>
      <c r="F188" s="65"/>
      <c r="G188" s="65"/>
      <c r="H188" s="65"/>
      <c r="I188" s="65"/>
      <c r="J188" s="65"/>
      <c r="K188" s="65"/>
      <c r="L188" s="65"/>
      <c r="M188" s="65"/>
      <c r="N188" s="65"/>
      <c r="O188" s="65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1.25" customHeight="1" x14ac:dyDescent="0.25">
      <c r="A189" s="3"/>
      <c r="B189" s="65"/>
      <c r="C189" s="65"/>
      <c r="D189" s="65"/>
      <c r="E189" s="65"/>
      <c r="F189" s="65"/>
      <c r="G189" s="65"/>
      <c r="H189" s="65"/>
      <c r="I189" s="65"/>
      <c r="J189" s="65"/>
      <c r="K189" s="65"/>
      <c r="L189" s="65"/>
      <c r="M189" s="65"/>
      <c r="N189" s="65"/>
      <c r="O189" s="65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1.25" customHeight="1" x14ac:dyDescent="0.25">
      <c r="A190" s="3"/>
      <c r="B190" s="65"/>
      <c r="C190" s="65"/>
      <c r="D190" s="65"/>
      <c r="E190" s="65"/>
      <c r="F190" s="65"/>
      <c r="G190" s="65"/>
      <c r="H190" s="65"/>
      <c r="I190" s="65"/>
      <c r="J190" s="65"/>
      <c r="K190" s="65"/>
      <c r="L190" s="65"/>
      <c r="M190" s="65"/>
      <c r="N190" s="65"/>
      <c r="O190" s="65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1.25" customHeight="1" x14ac:dyDescent="0.25">
      <c r="A191" s="3"/>
      <c r="B191" s="65"/>
      <c r="C191" s="65"/>
      <c r="D191" s="65"/>
      <c r="E191" s="65"/>
      <c r="F191" s="65"/>
      <c r="G191" s="65"/>
      <c r="H191" s="65"/>
      <c r="I191" s="65"/>
      <c r="J191" s="65"/>
      <c r="K191" s="65"/>
      <c r="L191" s="65"/>
      <c r="M191" s="65"/>
      <c r="N191" s="65"/>
      <c r="O191" s="65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1.25" customHeight="1" x14ac:dyDescent="0.25">
      <c r="A192" s="3"/>
      <c r="B192" s="65"/>
      <c r="C192" s="65"/>
      <c r="D192" s="65"/>
      <c r="E192" s="65"/>
      <c r="F192" s="65"/>
      <c r="G192" s="65"/>
      <c r="H192" s="65"/>
      <c r="I192" s="65"/>
      <c r="J192" s="65"/>
      <c r="K192" s="65"/>
      <c r="L192" s="65"/>
      <c r="M192" s="65"/>
      <c r="N192" s="65"/>
      <c r="O192" s="65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1.25" customHeight="1" x14ac:dyDescent="0.25">
      <c r="A193" s="3"/>
      <c r="B193" s="65"/>
      <c r="C193" s="65"/>
      <c r="D193" s="65"/>
      <c r="E193" s="65"/>
      <c r="F193" s="65"/>
      <c r="G193" s="65"/>
      <c r="H193" s="65"/>
      <c r="I193" s="65"/>
      <c r="J193" s="65"/>
      <c r="K193" s="65"/>
      <c r="L193" s="65"/>
      <c r="M193" s="65"/>
      <c r="N193" s="65"/>
      <c r="O193" s="65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1.25" customHeight="1" x14ac:dyDescent="0.25">
      <c r="A194" s="3"/>
      <c r="B194" s="65"/>
      <c r="C194" s="65"/>
      <c r="D194" s="65"/>
      <c r="E194" s="65"/>
      <c r="F194" s="65"/>
      <c r="G194" s="65"/>
      <c r="H194" s="65"/>
      <c r="I194" s="65"/>
      <c r="J194" s="65"/>
      <c r="K194" s="65"/>
      <c r="L194" s="65"/>
      <c r="M194" s="65"/>
      <c r="N194" s="65"/>
      <c r="O194" s="65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1.25" customHeight="1" x14ac:dyDescent="0.25">
      <c r="A195" s="3"/>
      <c r="B195" s="65"/>
      <c r="C195" s="65"/>
      <c r="D195" s="65"/>
      <c r="E195" s="65"/>
      <c r="F195" s="65"/>
      <c r="G195" s="65"/>
      <c r="H195" s="65"/>
      <c r="I195" s="65"/>
      <c r="J195" s="65"/>
      <c r="K195" s="65"/>
      <c r="L195" s="65"/>
      <c r="M195" s="65"/>
      <c r="N195" s="65"/>
      <c r="O195" s="65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1.25" customHeight="1" x14ac:dyDescent="0.25">
      <c r="A196" s="3"/>
      <c r="B196" s="65"/>
      <c r="C196" s="65"/>
      <c r="D196" s="65"/>
      <c r="E196" s="65"/>
      <c r="F196" s="65"/>
      <c r="G196" s="65"/>
      <c r="H196" s="65"/>
      <c r="I196" s="65"/>
      <c r="J196" s="65"/>
      <c r="K196" s="65"/>
      <c r="L196" s="65"/>
      <c r="M196" s="65"/>
      <c r="N196" s="65"/>
      <c r="O196" s="65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1.25" customHeight="1" x14ac:dyDescent="0.25">
      <c r="A197" s="3"/>
      <c r="B197" s="65"/>
      <c r="C197" s="65"/>
      <c r="D197" s="65"/>
      <c r="E197" s="65"/>
      <c r="F197" s="65"/>
      <c r="G197" s="65"/>
      <c r="H197" s="65"/>
      <c r="I197" s="65"/>
      <c r="J197" s="65"/>
      <c r="K197" s="65"/>
      <c r="L197" s="65"/>
      <c r="M197" s="65"/>
      <c r="N197" s="65"/>
      <c r="O197" s="65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1.25" customHeight="1" x14ac:dyDescent="0.25">
      <c r="A198" s="3"/>
      <c r="B198" s="65"/>
      <c r="C198" s="65"/>
      <c r="D198" s="65"/>
      <c r="E198" s="65"/>
      <c r="F198" s="65"/>
      <c r="G198" s="65"/>
      <c r="H198" s="65"/>
      <c r="I198" s="65"/>
      <c r="J198" s="65"/>
      <c r="K198" s="65"/>
      <c r="L198" s="65"/>
      <c r="M198" s="65"/>
      <c r="N198" s="65"/>
      <c r="O198" s="65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1.25" customHeight="1" x14ac:dyDescent="0.25">
      <c r="A199" s="3"/>
      <c r="B199" s="65"/>
      <c r="C199" s="65"/>
      <c r="D199" s="65"/>
      <c r="E199" s="65"/>
      <c r="F199" s="65"/>
      <c r="G199" s="65"/>
      <c r="H199" s="65"/>
      <c r="I199" s="65"/>
      <c r="J199" s="65"/>
      <c r="K199" s="65"/>
      <c r="L199" s="65"/>
      <c r="M199" s="65"/>
      <c r="N199" s="65"/>
      <c r="O199" s="65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1.25" customHeight="1" x14ac:dyDescent="0.25">
      <c r="A200" s="3"/>
      <c r="B200" s="65"/>
      <c r="C200" s="65"/>
      <c r="D200" s="65"/>
      <c r="E200" s="65"/>
      <c r="F200" s="65"/>
      <c r="G200" s="65"/>
      <c r="H200" s="65"/>
      <c r="I200" s="65"/>
      <c r="J200" s="65"/>
      <c r="K200" s="65"/>
      <c r="L200" s="65"/>
      <c r="M200" s="65"/>
      <c r="N200" s="65"/>
      <c r="O200" s="65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1.25" customHeight="1" x14ac:dyDescent="0.25">
      <c r="A201" s="3"/>
      <c r="B201" s="65"/>
      <c r="C201" s="65"/>
      <c r="D201" s="65"/>
      <c r="E201" s="65"/>
      <c r="F201" s="65"/>
      <c r="G201" s="65"/>
      <c r="H201" s="65"/>
      <c r="I201" s="65"/>
      <c r="J201" s="65"/>
      <c r="K201" s="65"/>
      <c r="L201" s="65"/>
      <c r="M201" s="65"/>
      <c r="N201" s="65"/>
      <c r="O201" s="65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1.25" customHeight="1" x14ac:dyDescent="0.25">
      <c r="A202" s="3"/>
      <c r="B202" s="65"/>
      <c r="C202" s="65"/>
      <c r="D202" s="65"/>
      <c r="E202" s="65"/>
      <c r="F202" s="65"/>
      <c r="G202" s="65"/>
      <c r="H202" s="65"/>
      <c r="I202" s="65"/>
      <c r="J202" s="65"/>
      <c r="K202" s="65"/>
      <c r="L202" s="65"/>
      <c r="M202" s="65"/>
      <c r="N202" s="65"/>
      <c r="O202" s="65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1.25" customHeight="1" x14ac:dyDescent="0.25">
      <c r="A203" s="3"/>
      <c r="B203" s="65"/>
      <c r="C203" s="65"/>
      <c r="D203" s="65"/>
      <c r="E203" s="65"/>
      <c r="F203" s="65"/>
      <c r="G203" s="65"/>
      <c r="H203" s="65"/>
      <c r="I203" s="65"/>
      <c r="J203" s="65"/>
      <c r="K203" s="65"/>
      <c r="L203" s="65"/>
      <c r="M203" s="65"/>
      <c r="N203" s="65"/>
      <c r="O203" s="65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1.25" customHeight="1" x14ac:dyDescent="0.25">
      <c r="A204" s="3"/>
      <c r="B204" s="65"/>
      <c r="C204" s="65"/>
      <c r="D204" s="65"/>
      <c r="E204" s="65"/>
      <c r="F204" s="65"/>
      <c r="G204" s="65"/>
      <c r="H204" s="65"/>
      <c r="I204" s="65"/>
      <c r="J204" s="65"/>
      <c r="K204" s="65"/>
      <c r="L204" s="65"/>
      <c r="M204" s="65"/>
      <c r="N204" s="65"/>
      <c r="O204" s="65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1.25" customHeight="1" x14ac:dyDescent="0.25">
      <c r="A205" s="3"/>
      <c r="B205" s="65"/>
      <c r="C205" s="65"/>
      <c r="D205" s="65"/>
      <c r="E205" s="65"/>
      <c r="F205" s="65"/>
      <c r="G205" s="65"/>
      <c r="H205" s="65"/>
      <c r="I205" s="65"/>
      <c r="J205" s="65"/>
      <c r="K205" s="65"/>
      <c r="L205" s="65"/>
      <c r="M205" s="65"/>
      <c r="N205" s="65"/>
      <c r="O205" s="65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1.25" customHeight="1" x14ac:dyDescent="0.25">
      <c r="A206" s="3"/>
      <c r="B206" s="65"/>
      <c r="C206" s="65"/>
      <c r="D206" s="65"/>
      <c r="E206" s="65"/>
      <c r="F206" s="65"/>
      <c r="G206" s="65"/>
      <c r="H206" s="65"/>
      <c r="I206" s="65"/>
      <c r="J206" s="65"/>
      <c r="K206" s="65"/>
      <c r="L206" s="65"/>
      <c r="M206" s="65"/>
      <c r="N206" s="65"/>
      <c r="O206" s="65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1.25" customHeight="1" x14ac:dyDescent="0.25">
      <c r="A207" s="3"/>
      <c r="B207" s="65"/>
      <c r="C207" s="65"/>
      <c r="D207" s="65"/>
      <c r="E207" s="65"/>
      <c r="F207" s="65"/>
      <c r="G207" s="65"/>
      <c r="H207" s="65"/>
      <c r="I207" s="65"/>
      <c r="J207" s="65"/>
      <c r="K207" s="65"/>
      <c r="L207" s="65"/>
      <c r="M207" s="65"/>
      <c r="N207" s="65"/>
      <c r="O207" s="65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1.25" customHeight="1" x14ac:dyDescent="0.25">
      <c r="A208" s="3"/>
      <c r="B208" s="65"/>
      <c r="C208" s="65"/>
      <c r="D208" s="65"/>
      <c r="E208" s="65"/>
      <c r="F208" s="65"/>
      <c r="G208" s="65"/>
      <c r="H208" s="65"/>
      <c r="I208" s="65"/>
      <c r="J208" s="65"/>
      <c r="K208" s="65"/>
      <c r="L208" s="65"/>
      <c r="M208" s="65"/>
      <c r="N208" s="65"/>
      <c r="O208" s="65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1.25" customHeight="1" x14ac:dyDescent="0.25">
      <c r="A209" s="3"/>
      <c r="B209" s="65"/>
      <c r="C209" s="65"/>
      <c r="D209" s="65"/>
      <c r="E209" s="65"/>
      <c r="F209" s="65"/>
      <c r="G209" s="65"/>
      <c r="H209" s="65"/>
      <c r="I209" s="65"/>
      <c r="J209" s="65"/>
      <c r="K209" s="65"/>
      <c r="L209" s="65"/>
      <c r="M209" s="65"/>
      <c r="N209" s="65"/>
      <c r="O209" s="65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1.25" customHeight="1" x14ac:dyDescent="0.25">
      <c r="A210" s="3"/>
      <c r="B210" s="65"/>
      <c r="C210" s="65"/>
      <c r="D210" s="65"/>
      <c r="E210" s="65"/>
      <c r="F210" s="65"/>
      <c r="G210" s="65"/>
      <c r="H210" s="65"/>
      <c r="I210" s="65"/>
      <c r="J210" s="65"/>
      <c r="K210" s="65"/>
      <c r="L210" s="65"/>
      <c r="M210" s="65"/>
      <c r="N210" s="65"/>
      <c r="O210" s="65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1.25" customHeight="1" x14ac:dyDescent="0.25">
      <c r="A211" s="3"/>
      <c r="B211" s="65"/>
      <c r="C211" s="65"/>
      <c r="D211" s="65"/>
      <c r="E211" s="65"/>
      <c r="F211" s="65"/>
      <c r="G211" s="65"/>
      <c r="H211" s="65"/>
      <c r="I211" s="65"/>
      <c r="J211" s="65"/>
      <c r="K211" s="65"/>
      <c r="L211" s="65"/>
      <c r="M211" s="65"/>
      <c r="N211" s="65"/>
      <c r="O211" s="65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1.25" customHeight="1" x14ac:dyDescent="0.25">
      <c r="A212" s="3"/>
      <c r="B212" s="65"/>
      <c r="C212" s="65"/>
      <c r="D212" s="65"/>
      <c r="E212" s="65"/>
      <c r="F212" s="65"/>
      <c r="G212" s="65"/>
      <c r="H212" s="65"/>
      <c r="I212" s="65"/>
      <c r="J212" s="65"/>
      <c r="K212" s="65"/>
      <c r="L212" s="65"/>
      <c r="M212" s="65"/>
      <c r="N212" s="65"/>
      <c r="O212" s="65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1.25" customHeight="1" x14ac:dyDescent="0.25">
      <c r="A213" s="3"/>
      <c r="B213" s="65"/>
      <c r="C213" s="65"/>
      <c r="D213" s="65"/>
      <c r="E213" s="65"/>
      <c r="F213" s="65"/>
      <c r="G213" s="65"/>
      <c r="H213" s="65"/>
      <c r="I213" s="65"/>
      <c r="J213" s="65"/>
      <c r="K213" s="65"/>
      <c r="L213" s="65"/>
      <c r="M213" s="65"/>
      <c r="N213" s="65"/>
      <c r="O213" s="65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1.25" customHeight="1" x14ac:dyDescent="0.25">
      <c r="A214" s="3"/>
      <c r="B214" s="65"/>
      <c r="C214" s="65"/>
      <c r="D214" s="65"/>
      <c r="E214" s="65"/>
      <c r="F214" s="65"/>
      <c r="G214" s="65"/>
      <c r="H214" s="65"/>
      <c r="I214" s="65"/>
      <c r="J214" s="65"/>
      <c r="K214" s="65"/>
      <c r="L214" s="65"/>
      <c r="M214" s="65"/>
      <c r="N214" s="65"/>
      <c r="O214" s="65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1.25" customHeight="1" x14ac:dyDescent="0.25">
      <c r="A215" s="3"/>
      <c r="B215" s="65"/>
      <c r="C215" s="65"/>
      <c r="D215" s="65"/>
      <c r="E215" s="65"/>
      <c r="F215" s="65"/>
      <c r="G215" s="65"/>
      <c r="H215" s="65"/>
      <c r="I215" s="65"/>
      <c r="J215" s="65"/>
      <c r="K215" s="65"/>
      <c r="L215" s="65"/>
      <c r="M215" s="65"/>
      <c r="N215" s="65"/>
      <c r="O215" s="65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1.25" customHeight="1" x14ac:dyDescent="0.25">
      <c r="A216" s="3"/>
      <c r="B216" s="65"/>
      <c r="C216" s="65"/>
      <c r="D216" s="65"/>
      <c r="E216" s="65"/>
      <c r="F216" s="65"/>
      <c r="G216" s="65"/>
      <c r="H216" s="65"/>
      <c r="I216" s="65"/>
      <c r="J216" s="65"/>
      <c r="K216" s="65"/>
      <c r="L216" s="65"/>
      <c r="M216" s="65"/>
      <c r="N216" s="65"/>
      <c r="O216" s="65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1.25" customHeight="1" x14ac:dyDescent="0.25">
      <c r="A217" s="3"/>
      <c r="B217" s="65"/>
      <c r="C217" s="65"/>
      <c r="D217" s="65"/>
      <c r="E217" s="65"/>
      <c r="F217" s="65"/>
      <c r="G217" s="65"/>
      <c r="H217" s="65"/>
      <c r="I217" s="65"/>
      <c r="J217" s="65"/>
      <c r="K217" s="65"/>
      <c r="L217" s="65"/>
      <c r="M217" s="65"/>
      <c r="N217" s="65"/>
      <c r="O217" s="65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1.25" customHeight="1" x14ac:dyDescent="0.25">
      <c r="A218" s="3"/>
      <c r="B218" s="65"/>
      <c r="C218" s="65"/>
      <c r="D218" s="65"/>
      <c r="E218" s="65"/>
      <c r="F218" s="65"/>
      <c r="G218" s="65"/>
      <c r="H218" s="65"/>
      <c r="I218" s="65"/>
      <c r="J218" s="65"/>
      <c r="K218" s="65"/>
      <c r="L218" s="65"/>
      <c r="M218" s="65"/>
      <c r="N218" s="65"/>
      <c r="O218" s="65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1.25" customHeight="1" x14ac:dyDescent="0.25">
      <c r="A219" s="3"/>
      <c r="B219" s="65"/>
      <c r="C219" s="65"/>
      <c r="D219" s="65"/>
      <c r="E219" s="65"/>
      <c r="F219" s="65"/>
      <c r="G219" s="65"/>
      <c r="H219" s="65"/>
      <c r="I219" s="65"/>
      <c r="J219" s="65"/>
      <c r="K219" s="65"/>
      <c r="L219" s="65"/>
      <c r="M219" s="65"/>
      <c r="N219" s="65"/>
      <c r="O219" s="65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1.25" customHeight="1" x14ac:dyDescent="0.25">
      <c r="A220" s="3"/>
      <c r="B220" s="65"/>
      <c r="C220" s="65"/>
      <c r="D220" s="65"/>
      <c r="E220" s="65"/>
      <c r="F220" s="65"/>
      <c r="G220" s="65"/>
      <c r="H220" s="65"/>
      <c r="I220" s="65"/>
      <c r="J220" s="65"/>
      <c r="K220" s="65"/>
      <c r="L220" s="65"/>
      <c r="M220" s="65"/>
      <c r="N220" s="65"/>
      <c r="O220" s="65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1.25" customHeight="1" x14ac:dyDescent="0.25">
      <c r="A221" s="3"/>
      <c r="B221" s="65"/>
      <c r="C221" s="65"/>
      <c r="D221" s="65"/>
      <c r="E221" s="65"/>
      <c r="F221" s="65"/>
      <c r="G221" s="65"/>
      <c r="H221" s="65"/>
      <c r="I221" s="65"/>
      <c r="J221" s="65"/>
      <c r="K221" s="65"/>
      <c r="L221" s="65"/>
      <c r="M221" s="65"/>
      <c r="N221" s="65"/>
      <c r="O221" s="65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1.25" customHeight="1" x14ac:dyDescent="0.25">
      <c r="A222" s="3"/>
      <c r="B222" s="65"/>
      <c r="C222" s="65"/>
      <c r="D222" s="65"/>
      <c r="E222" s="65"/>
      <c r="F222" s="65"/>
      <c r="G222" s="65"/>
      <c r="H222" s="65"/>
      <c r="I222" s="65"/>
      <c r="J222" s="65"/>
      <c r="K222" s="65"/>
      <c r="L222" s="65"/>
      <c r="M222" s="65"/>
      <c r="N222" s="65"/>
      <c r="O222" s="65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1.25" customHeight="1" x14ac:dyDescent="0.25">
      <c r="A223" s="3"/>
      <c r="B223" s="65"/>
      <c r="C223" s="65"/>
      <c r="D223" s="65"/>
      <c r="E223" s="65"/>
      <c r="F223" s="65"/>
      <c r="G223" s="65"/>
      <c r="H223" s="65"/>
      <c r="I223" s="65"/>
      <c r="J223" s="65"/>
      <c r="K223" s="65"/>
      <c r="L223" s="65"/>
      <c r="M223" s="65"/>
      <c r="N223" s="65"/>
      <c r="O223" s="65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1.25" customHeight="1" x14ac:dyDescent="0.25">
      <c r="A224" s="3"/>
      <c r="B224" s="65"/>
      <c r="C224" s="65"/>
      <c r="D224" s="65"/>
      <c r="E224" s="65"/>
      <c r="F224" s="65"/>
      <c r="G224" s="65"/>
      <c r="H224" s="65"/>
      <c r="I224" s="65"/>
      <c r="J224" s="65"/>
      <c r="K224" s="65"/>
      <c r="L224" s="65"/>
      <c r="M224" s="65"/>
      <c r="N224" s="65"/>
      <c r="O224" s="65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1.25" customHeight="1" x14ac:dyDescent="0.25">
      <c r="A225" s="3"/>
      <c r="B225" s="65"/>
      <c r="C225" s="65"/>
      <c r="D225" s="65"/>
      <c r="E225" s="65"/>
      <c r="F225" s="65"/>
      <c r="G225" s="65"/>
      <c r="H225" s="65"/>
      <c r="I225" s="65"/>
      <c r="J225" s="65"/>
      <c r="K225" s="65"/>
      <c r="L225" s="65"/>
      <c r="M225" s="65"/>
      <c r="N225" s="65"/>
      <c r="O225" s="65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1.25" customHeight="1" x14ac:dyDescent="0.25">
      <c r="A226" s="3"/>
      <c r="B226" s="65"/>
      <c r="C226" s="65"/>
      <c r="D226" s="65"/>
      <c r="E226" s="65"/>
      <c r="F226" s="65"/>
      <c r="G226" s="65"/>
      <c r="H226" s="65"/>
      <c r="I226" s="65"/>
      <c r="J226" s="65"/>
      <c r="K226" s="65"/>
      <c r="L226" s="65"/>
      <c r="M226" s="65"/>
      <c r="N226" s="65"/>
      <c r="O226" s="65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1.25" customHeight="1" x14ac:dyDescent="0.25">
      <c r="A227" s="3"/>
      <c r="B227" s="65"/>
      <c r="C227" s="65"/>
      <c r="D227" s="65"/>
      <c r="E227" s="65"/>
      <c r="F227" s="65"/>
      <c r="G227" s="65"/>
      <c r="H227" s="65"/>
      <c r="I227" s="65"/>
      <c r="J227" s="65"/>
      <c r="K227" s="65"/>
      <c r="L227" s="65"/>
      <c r="M227" s="65"/>
      <c r="N227" s="65"/>
      <c r="O227" s="65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1.25" customHeight="1" x14ac:dyDescent="0.25">
      <c r="A228" s="3"/>
      <c r="B228" s="65"/>
      <c r="C228" s="65"/>
      <c r="D228" s="65"/>
      <c r="E228" s="65"/>
      <c r="F228" s="65"/>
      <c r="G228" s="65"/>
      <c r="H228" s="65"/>
      <c r="I228" s="65"/>
      <c r="J228" s="65"/>
      <c r="K228" s="65"/>
      <c r="L228" s="65"/>
      <c r="M228" s="65"/>
      <c r="N228" s="65"/>
      <c r="O228" s="65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1.25" customHeight="1" x14ac:dyDescent="0.25">
      <c r="A229" s="3"/>
      <c r="B229" s="65"/>
      <c r="C229" s="65"/>
      <c r="D229" s="65"/>
      <c r="E229" s="65"/>
      <c r="F229" s="65"/>
      <c r="G229" s="65"/>
      <c r="H229" s="65"/>
      <c r="I229" s="65"/>
      <c r="J229" s="65"/>
      <c r="K229" s="65"/>
      <c r="L229" s="65"/>
      <c r="M229" s="65"/>
      <c r="N229" s="65"/>
      <c r="O229" s="65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1.25" customHeight="1" x14ac:dyDescent="0.25">
      <c r="A230" s="3"/>
      <c r="B230" s="65"/>
      <c r="C230" s="65"/>
      <c r="D230" s="65"/>
      <c r="E230" s="65"/>
      <c r="F230" s="65"/>
      <c r="G230" s="65"/>
      <c r="H230" s="65"/>
      <c r="I230" s="65"/>
      <c r="J230" s="65"/>
      <c r="K230" s="65"/>
      <c r="L230" s="65"/>
      <c r="M230" s="65"/>
      <c r="N230" s="65"/>
      <c r="O230" s="65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1.25" customHeight="1" x14ac:dyDescent="0.25">
      <c r="A231" s="3"/>
      <c r="B231" s="65"/>
      <c r="C231" s="65"/>
      <c r="D231" s="65"/>
      <c r="E231" s="65"/>
      <c r="F231" s="65"/>
      <c r="G231" s="65"/>
      <c r="H231" s="65"/>
      <c r="I231" s="65"/>
      <c r="J231" s="65"/>
      <c r="K231" s="65"/>
      <c r="L231" s="65"/>
      <c r="M231" s="65"/>
      <c r="N231" s="65"/>
      <c r="O231" s="65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1.25" customHeight="1" x14ac:dyDescent="0.25">
      <c r="A232" s="3"/>
      <c r="B232" s="65"/>
      <c r="C232" s="65"/>
      <c r="D232" s="65"/>
      <c r="E232" s="65"/>
      <c r="F232" s="65"/>
      <c r="G232" s="65"/>
      <c r="H232" s="65"/>
      <c r="I232" s="65"/>
      <c r="J232" s="65"/>
      <c r="K232" s="65"/>
      <c r="L232" s="65"/>
      <c r="M232" s="65"/>
      <c r="N232" s="65"/>
      <c r="O232" s="65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1.25" customHeight="1" x14ac:dyDescent="0.25">
      <c r="A233" s="3"/>
      <c r="B233" s="65"/>
      <c r="C233" s="65"/>
      <c r="D233" s="65"/>
      <c r="E233" s="65"/>
      <c r="F233" s="65"/>
      <c r="G233" s="65"/>
      <c r="H233" s="65"/>
      <c r="I233" s="65"/>
      <c r="J233" s="65"/>
      <c r="K233" s="65"/>
      <c r="L233" s="65"/>
      <c r="M233" s="65"/>
      <c r="N233" s="65"/>
      <c r="O233" s="65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1.25" customHeight="1" x14ac:dyDescent="0.25">
      <c r="A234" s="3"/>
      <c r="B234" s="65"/>
      <c r="C234" s="65"/>
      <c r="D234" s="65"/>
      <c r="E234" s="65"/>
      <c r="F234" s="65"/>
      <c r="G234" s="65"/>
      <c r="H234" s="65"/>
      <c r="I234" s="65"/>
      <c r="J234" s="65"/>
      <c r="K234" s="65"/>
      <c r="L234" s="65"/>
      <c r="M234" s="65"/>
      <c r="N234" s="65"/>
      <c r="O234" s="65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1.25" customHeight="1" x14ac:dyDescent="0.25">
      <c r="A235" s="3"/>
      <c r="B235" s="65"/>
      <c r="C235" s="65"/>
      <c r="D235" s="65"/>
      <c r="E235" s="65"/>
      <c r="F235" s="65"/>
      <c r="G235" s="65"/>
      <c r="H235" s="65"/>
      <c r="I235" s="65"/>
      <c r="J235" s="65"/>
      <c r="K235" s="65"/>
      <c r="L235" s="65"/>
      <c r="M235" s="65"/>
      <c r="N235" s="65"/>
      <c r="O235" s="65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1.25" customHeight="1" x14ac:dyDescent="0.25">
      <c r="A236" s="3"/>
      <c r="B236" s="65"/>
      <c r="C236" s="65"/>
      <c r="D236" s="65"/>
      <c r="E236" s="65"/>
      <c r="F236" s="65"/>
      <c r="G236" s="65"/>
      <c r="H236" s="65"/>
      <c r="I236" s="65"/>
      <c r="J236" s="65"/>
      <c r="K236" s="65"/>
      <c r="L236" s="65"/>
      <c r="M236" s="65"/>
      <c r="N236" s="65"/>
      <c r="O236" s="65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1.25" customHeight="1" x14ac:dyDescent="0.2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1.25" customHeight="1" x14ac:dyDescent="0.2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1.25" customHeight="1" x14ac:dyDescent="0.2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1.25" customHeight="1" x14ac:dyDescent="0.2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1.25" customHeight="1" x14ac:dyDescent="0.2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1.25" customHeight="1" x14ac:dyDescent="0.2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1.25" customHeight="1" x14ac:dyDescent="0.2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1.25" customHeight="1" x14ac:dyDescent="0.2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1.25" customHeight="1" x14ac:dyDescent="0.2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1.25" customHeight="1" x14ac:dyDescent="0.2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1.25" customHeight="1" x14ac:dyDescent="0.2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1.25" customHeight="1" x14ac:dyDescent="0.2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1.25" customHeight="1" x14ac:dyDescent="0.2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1.25" customHeight="1" x14ac:dyDescent="0.2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1.25" customHeight="1" x14ac:dyDescent="0.2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1.25" customHeight="1" x14ac:dyDescent="0.2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1.25" customHeight="1" x14ac:dyDescent="0.2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1.25" customHeight="1" x14ac:dyDescent="0.2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1.25" customHeight="1" x14ac:dyDescent="0.2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1.25" customHeight="1" x14ac:dyDescent="0.2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1.25" customHeight="1" x14ac:dyDescent="0.2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1.25" customHeight="1" x14ac:dyDescent="0.2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1.25" customHeight="1" x14ac:dyDescent="0.2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1.25" customHeight="1" x14ac:dyDescent="0.2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1.25" customHeight="1" x14ac:dyDescent="0.2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1.25" customHeight="1" x14ac:dyDescent="0.2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1.25" customHeight="1" x14ac:dyDescent="0.2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1.25" customHeight="1" x14ac:dyDescent="0.2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1.25" customHeight="1" x14ac:dyDescent="0.2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1.25" customHeight="1" x14ac:dyDescent="0.2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1.25" customHeight="1" x14ac:dyDescent="0.2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1.25" customHeight="1" x14ac:dyDescent="0.2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1.25" customHeight="1" x14ac:dyDescent="0.2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1.25" customHeight="1" x14ac:dyDescent="0.2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1.25" customHeight="1" x14ac:dyDescent="0.2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1.25" customHeight="1" x14ac:dyDescent="0.2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1.25" customHeight="1" x14ac:dyDescent="0.2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1.25" customHeight="1" x14ac:dyDescent="0.2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1.25" customHeight="1" x14ac:dyDescent="0.2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1.25" customHeight="1" x14ac:dyDescent="0.2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1.25" customHeight="1" x14ac:dyDescent="0.2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1.25" customHeight="1" x14ac:dyDescent="0.2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1.25" customHeight="1" x14ac:dyDescent="0.2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1.25" customHeight="1" x14ac:dyDescent="0.2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1.25" customHeight="1" x14ac:dyDescent="0.2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1.25" customHeight="1" x14ac:dyDescent="0.2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1.25" customHeight="1" x14ac:dyDescent="0.2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1.25" customHeight="1" x14ac:dyDescent="0.2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1.25" customHeight="1" x14ac:dyDescent="0.2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1.25" customHeight="1" x14ac:dyDescent="0.2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1.25" customHeight="1" x14ac:dyDescent="0.2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1.25" customHeight="1" x14ac:dyDescent="0.2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1.25" customHeight="1" x14ac:dyDescent="0.2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1.25" customHeight="1" x14ac:dyDescent="0.2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1.25" customHeight="1" x14ac:dyDescent="0.2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1.25" customHeight="1" x14ac:dyDescent="0.2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1.25" customHeight="1" x14ac:dyDescent="0.2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1.25" customHeight="1" x14ac:dyDescent="0.2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1.25" customHeight="1" x14ac:dyDescent="0.2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1.25" customHeight="1" x14ac:dyDescent="0.2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1.25" customHeight="1" x14ac:dyDescent="0.2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1.25" customHeight="1" x14ac:dyDescent="0.2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1.25" customHeight="1" x14ac:dyDescent="0.2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1.25" customHeight="1" x14ac:dyDescent="0.2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1.25" customHeight="1" x14ac:dyDescent="0.2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1.25" customHeight="1" x14ac:dyDescent="0.2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1.25" customHeight="1" x14ac:dyDescent="0.2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1.25" customHeight="1" x14ac:dyDescent="0.2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1.25" customHeight="1" x14ac:dyDescent="0.2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1.25" customHeight="1" x14ac:dyDescent="0.2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1.25" customHeight="1" x14ac:dyDescent="0.2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1.25" customHeight="1" x14ac:dyDescent="0.2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1.25" customHeight="1" x14ac:dyDescent="0.2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1.25" customHeight="1" x14ac:dyDescent="0.2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1.25" customHeight="1" x14ac:dyDescent="0.2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1.25" customHeight="1" x14ac:dyDescent="0.2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1.25" customHeight="1" x14ac:dyDescent="0.2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1.25" customHeight="1" x14ac:dyDescent="0.2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1.25" customHeight="1" x14ac:dyDescent="0.2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1.25" customHeight="1" x14ac:dyDescent="0.2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1.25" customHeight="1" x14ac:dyDescent="0.2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1.25" customHeight="1" x14ac:dyDescent="0.2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1.25" customHeight="1" x14ac:dyDescent="0.2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1.25" customHeight="1" x14ac:dyDescent="0.2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1.25" customHeight="1" x14ac:dyDescent="0.2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1.25" customHeight="1" x14ac:dyDescent="0.2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1.25" customHeight="1" x14ac:dyDescent="0.2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1.25" customHeight="1" x14ac:dyDescent="0.2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1.25" customHeight="1" x14ac:dyDescent="0.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1.25" customHeight="1" x14ac:dyDescent="0.2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1.25" customHeight="1" x14ac:dyDescent="0.2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1.25" customHeight="1" x14ac:dyDescent="0.2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1.25" customHeight="1" x14ac:dyDescent="0.2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1.25" customHeight="1" x14ac:dyDescent="0.2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1.25" customHeight="1" x14ac:dyDescent="0.2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1.25" customHeight="1" x14ac:dyDescent="0.2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1.25" customHeight="1" x14ac:dyDescent="0.2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1.25" customHeight="1" x14ac:dyDescent="0.2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1.25" customHeight="1" x14ac:dyDescent="0.2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1.25" customHeight="1" x14ac:dyDescent="0.2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1.25" customHeight="1" x14ac:dyDescent="0.2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1.25" customHeight="1" x14ac:dyDescent="0.2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1.25" customHeight="1" x14ac:dyDescent="0.2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1.25" customHeight="1" x14ac:dyDescent="0.2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1.25" customHeight="1" x14ac:dyDescent="0.2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1.25" customHeight="1" x14ac:dyDescent="0.2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1.25" customHeight="1" x14ac:dyDescent="0.2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1.25" customHeight="1" x14ac:dyDescent="0.2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1.25" customHeight="1" x14ac:dyDescent="0.2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1.25" customHeight="1" x14ac:dyDescent="0.2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1.25" customHeight="1" x14ac:dyDescent="0.2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1.25" customHeight="1" x14ac:dyDescent="0.2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1.25" customHeight="1" x14ac:dyDescent="0.2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1.25" customHeight="1" x14ac:dyDescent="0.2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1.25" customHeight="1" x14ac:dyDescent="0.2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1.25" customHeight="1" x14ac:dyDescent="0.2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1.25" customHeight="1" x14ac:dyDescent="0.2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1.25" customHeight="1" x14ac:dyDescent="0.2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1.25" customHeight="1" x14ac:dyDescent="0.2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1.25" customHeight="1" x14ac:dyDescent="0.2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1.25" customHeight="1" x14ac:dyDescent="0.2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1.25" customHeight="1" x14ac:dyDescent="0.2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1.25" customHeight="1" x14ac:dyDescent="0.2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1.25" customHeight="1" x14ac:dyDescent="0.2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1.25" customHeight="1" x14ac:dyDescent="0.2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1.25" customHeight="1" x14ac:dyDescent="0.2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1.25" customHeight="1" x14ac:dyDescent="0.2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1.25" customHeight="1" x14ac:dyDescent="0.2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1.25" customHeight="1" x14ac:dyDescent="0.2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1.25" customHeight="1" x14ac:dyDescent="0.2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1.25" customHeight="1" x14ac:dyDescent="0.2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1.25" customHeight="1" x14ac:dyDescent="0.2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1.25" customHeight="1" x14ac:dyDescent="0.2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1.25" customHeight="1" x14ac:dyDescent="0.2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1.25" customHeight="1" x14ac:dyDescent="0.2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1.25" customHeight="1" x14ac:dyDescent="0.2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1.25" customHeight="1" x14ac:dyDescent="0.2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1.25" customHeight="1" x14ac:dyDescent="0.2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1.25" customHeight="1" x14ac:dyDescent="0.2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1.25" customHeight="1" x14ac:dyDescent="0.2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1.25" customHeight="1" x14ac:dyDescent="0.2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1.25" customHeight="1" x14ac:dyDescent="0.2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1.25" customHeight="1" x14ac:dyDescent="0.2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1.25" customHeight="1" x14ac:dyDescent="0.2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1.25" customHeight="1" x14ac:dyDescent="0.2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1.25" customHeight="1" x14ac:dyDescent="0.2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1.25" customHeight="1" x14ac:dyDescent="0.2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1.25" customHeight="1" x14ac:dyDescent="0.2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1.25" customHeight="1" x14ac:dyDescent="0.2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1.25" customHeight="1" x14ac:dyDescent="0.2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1.25" customHeight="1" x14ac:dyDescent="0.2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1.25" customHeight="1" x14ac:dyDescent="0.2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1.25" customHeight="1" x14ac:dyDescent="0.2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1.25" customHeight="1" x14ac:dyDescent="0.2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1.25" customHeight="1" x14ac:dyDescent="0.2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1.25" customHeight="1" x14ac:dyDescent="0.2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1.25" customHeight="1" x14ac:dyDescent="0.2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1.25" customHeight="1" x14ac:dyDescent="0.2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1.25" customHeight="1" x14ac:dyDescent="0.2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1.25" customHeight="1" x14ac:dyDescent="0.2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1.25" customHeight="1" x14ac:dyDescent="0.2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1.25" customHeight="1" x14ac:dyDescent="0.2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1.25" customHeight="1" x14ac:dyDescent="0.2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1.25" customHeight="1" x14ac:dyDescent="0.2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1.25" customHeight="1" x14ac:dyDescent="0.2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1.25" customHeight="1" x14ac:dyDescent="0.2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1.25" customHeight="1" x14ac:dyDescent="0.2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1.25" customHeight="1" x14ac:dyDescent="0.2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1.25" customHeight="1" x14ac:dyDescent="0.2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1.25" customHeight="1" x14ac:dyDescent="0.2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1.25" customHeight="1" x14ac:dyDescent="0.2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1.25" customHeight="1" x14ac:dyDescent="0.2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1.25" customHeight="1" x14ac:dyDescent="0.2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1.25" customHeight="1" x14ac:dyDescent="0.2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1.25" customHeight="1" x14ac:dyDescent="0.2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1.25" customHeight="1" x14ac:dyDescent="0.2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1.25" customHeight="1" x14ac:dyDescent="0.2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1.25" customHeight="1" x14ac:dyDescent="0.2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1.25" customHeight="1" x14ac:dyDescent="0.2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1.25" customHeight="1" x14ac:dyDescent="0.2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1.25" customHeight="1" x14ac:dyDescent="0.2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1.25" customHeight="1" x14ac:dyDescent="0.2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1.25" customHeight="1" x14ac:dyDescent="0.2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1.25" customHeight="1" x14ac:dyDescent="0.2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1.25" customHeight="1" x14ac:dyDescent="0.2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1.25" customHeight="1" x14ac:dyDescent="0.2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1.25" customHeight="1" x14ac:dyDescent="0.2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1.25" customHeight="1" x14ac:dyDescent="0.2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1.25" customHeight="1" x14ac:dyDescent="0.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1.25" customHeight="1" x14ac:dyDescent="0.2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1.25" customHeight="1" x14ac:dyDescent="0.2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1.25" customHeight="1" x14ac:dyDescent="0.2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1.25" customHeight="1" x14ac:dyDescent="0.2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1.25" customHeight="1" x14ac:dyDescent="0.2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1.25" customHeight="1" x14ac:dyDescent="0.2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1.25" customHeight="1" x14ac:dyDescent="0.2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1.25" customHeight="1" x14ac:dyDescent="0.2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1.25" customHeight="1" x14ac:dyDescent="0.2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1.25" customHeight="1" x14ac:dyDescent="0.2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1.25" customHeight="1" x14ac:dyDescent="0.2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1.25" customHeight="1" x14ac:dyDescent="0.2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1.25" customHeight="1" x14ac:dyDescent="0.2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1.25" customHeight="1" x14ac:dyDescent="0.2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1.25" customHeight="1" x14ac:dyDescent="0.2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1.25" customHeight="1" x14ac:dyDescent="0.2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1.25" customHeight="1" x14ac:dyDescent="0.2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1.25" customHeight="1" x14ac:dyDescent="0.2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1.25" customHeight="1" x14ac:dyDescent="0.2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1.25" customHeight="1" x14ac:dyDescent="0.2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1.25" customHeight="1" x14ac:dyDescent="0.2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1.25" customHeight="1" x14ac:dyDescent="0.2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1.25" customHeight="1" x14ac:dyDescent="0.2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1.25" customHeight="1" x14ac:dyDescent="0.2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1.25" customHeight="1" x14ac:dyDescent="0.2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1.25" customHeight="1" x14ac:dyDescent="0.2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1.25" customHeight="1" x14ac:dyDescent="0.2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1.25" customHeight="1" x14ac:dyDescent="0.2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1.25" customHeight="1" x14ac:dyDescent="0.2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1.25" customHeight="1" x14ac:dyDescent="0.2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1.25" customHeight="1" x14ac:dyDescent="0.2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1.25" customHeight="1" x14ac:dyDescent="0.2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1.25" customHeight="1" x14ac:dyDescent="0.2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1.25" customHeight="1" x14ac:dyDescent="0.2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1.25" customHeight="1" x14ac:dyDescent="0.2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1.25" customHeight="1" x14ac:dyDescent="0.2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1.25" customHeight="1" x14ac:dyDescent="0.2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1.25" customHeight="1" x14ac:dyDescent="0.2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1.25" customHeight="1" x14ac:dyDescent="0.2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1.25" customHeight="1" x14ac:dyDescent="0.2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1.25" customHeight="1" x14ac:dyDescent="0.2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1.25" customHeight="1" x14ac:dyDescent="0.2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1.25" customHeight="1" x14ac:dyDescent="0.2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1.25" customHeight="1" x14ac:dyDescent="0.2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1.25" customHeight="1" x14ac:dyDescent="0.2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1.25" customHeight="1" x14ac:dyDescent="0.2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1.25" customHeight="1" x14ac:dyDescent="0.2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1.25" customHeight="1" x14ac:dyDescent="0.2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1.25" customHeight="1" x14ac:dyDescent="0.2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1.25" customHeight="1" x14ac:dyDescent="0.2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1.25" customHeight="1" x14ac:dyDescent="0.2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1.25" customHeight="1" x14ac:dyDescent="0.2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1.25" customHeight="1" x14ac:dyDescent="0.2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1.25" customHeight="1" x14ac:dyDescent="0.2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1.25" customHeight="1" x14ac:dyDescent="0.2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1.25" customHeight="1" x14ac:dyDescent="0.2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1.25" customHeight="1" x14ac:dyDescent="0.2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1.25" customHeight="1" x14ac:dyDescent="0.25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1.25" customHeight="1" x14ac:dyDescent="0.2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1.25" customHeight="1" x14ac:dyDescent="0.2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1.25" customHeight="1" x14ac:dyDescent="0.2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1.25" customHeight="1" x14ac:dyDescent="0.25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1.25" customHeight="1" x14ac:dyDescent="0.2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1.25" customHeight="1" x14ac:dyDescent="0.25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1.25" customHeight="1" x14ac:dyDescent="0.2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1.25" customHeight="1" x14ac:dyDescent="0.25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1.25" customHeight="1" x14ac:dyDescent="0.2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1.25" customHeight="1" x14ac:dyDescent="0.25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1.25" customHeight="1" x14ac:dyDescent="0.2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1.25" customHeight="1" x14ac:dyDescent="0.2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1.25" customHeight="1" x14ac:dyDescent="0.2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1.25" customHeight="1" x14ac:dyDescent="0.25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1.25" customHeight="1" x14ac:dyDescent="0.2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1.25" customHeight="1" x14ac:dyDescent="0.25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1.25" customHeight="1" x14ac:dyDescent="0.2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1.25" customHeight="1" x14ac:dyDescent="0.25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1.25" customHeight="1" x14ac:dyDescent="0.25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1.25" customHeight="1" x14ac:dyDescent="0.25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1.25" customHeight="1" x14ac:dyDescent="0.25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1.25" customHeight="1" x14ac:dyDescent="0.2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1.25" customHeight="1" x14ac:dyDescent="0.25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1.25" customHeight="1" x14ac:dyDescent="0.25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1.25" customHeight="1" x14ac:dyDescent="0.25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1.25" customHeight="1" x14ac:dyDescent="0.25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1.25" customHeight="1" x14ac:dyDescent="0.25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1.25" customHeight="1" x14ac:dyDescent="0.25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1.25" customHeight="1" x14ac:dyDescent="0.25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1.25" customHeight="1" x14ac:dyDescent="0.25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1.25" customHeight="1" x14ac:dyDescent="0.25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1.25" customHeight="1" x14ac:dyDescent="0.2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1.25" customHeight="1" x14ac:dyDescent="0.25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1.25" customHeight="1" x14ac:dyDescent="0.25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1.25" customHeight="1" x14ac:dyDescent="0.25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1.25" customHeight="1" x14ac:dyDescent="0.25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1.25" customHeight="1" x14ac:dyDescent="0.25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1.25" customHeight="1" x14ac:dyDescent="0.25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1.25" customHeight="1" x14ac:dyDescent="0.25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1.25" customHeight="1" x14ac:dyDescent="0.25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1.25" customHeight="1" x14ac:dyDescent="0.25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1.25" customHeight="1" x14ac:dyDescent="0.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1.25" customHeight="1" x14ac:dyDescent="0.25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1.25" customHeight="1" x14ac:dyDescent="0.25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1.25" customHeight="1" x14ac:dyDescent="0.25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1.25" customHeight="1" x14ac:dyDescent="0.25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1.25" customHeight="1" x14ac:dyDescent="0.25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1.25" customHeight="1" x14ac:dyDescent="0.25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1.25" customHeight="1" x14ac:dyDescent="0.25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1.25" customHeight="1" x14ac:dyDescent="0.25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1.25" customHeight="1" x14ac:dyDescent="0.25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1.25" customHeight="1" x14ac:dyDescent="0.2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1.25" customHeight="1" x14ac:dyDescent="0.25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1.25" customHeight="1" x14ac:dyDescent="0.25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1.25" customHeight="1" x14ac:dyDescent="0.25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1.25" customHeight="1" x14ac:dyDescent="0.25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1.25" customHeight="1" x14ac:dyDescent="0.25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1.25" customHeight="1" x14ac:dyDescent="0.25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1.25" customHeight="1" x14ac:dyDescent="0.25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1.25" customHeight="1" x14ac:dyDescent="0.25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1.25" customHeight="1" x14ac:dyDescent="0.25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1.25" customHeight="1" x14ac:dyDescent="0.2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1.25" customHeight="1" x14ac:dyDescent="0.25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1.25" customHeight="1" x14ac:dyDescent="0.25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1.25" customHeight="1" x14ac:dyDescent="0.25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1.25" customHeight="1" x14ac:dyDescent="0.25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1.25" customHeight="1" x14ac:dyDescent="0.25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1.25" customHeight="1" x14ac:dyDescent="0.25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1.25" customHeight="1" x14ac:dyDescent="0.25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1.25" customHeight="1" x14ac:dyDescent="0.25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1.25" customHeight="1" x14ac:dyDescent="0.25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1.25" customHeight="1" x14ac:dyDescent="0.2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1.25" customHeight="1" x14ac:dyDescent="0.25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1.25" customHeight="1" x14ac:dyDescent="0.25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1.25" customHeight="1" x14ac:dyDescent="0.25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1.25" customHeight="1" x14ac:dyDescent="0.25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1.25" customHeight="1" x14ac:dyDescent="0.25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1.25" customHeight="1" x14ac:dyDescent="0.25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1.25" customHeight="1" x14ac:dyDescent="0.25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1.25" customHeight="1" x14ac:dyDescent="0.25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1.25" customHeight="1" x14ac:dyDescent="0.25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1.25" customHeight="1" x14ac:dyDescent="0.2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1.25" customHeight="1" x14ac:dyDescent="0.25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1.25" customHeight="1" x14ac:dyDescent="0.25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1.25" customHeight="1" x14ac:dyDescent="0.25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1.25" customHeight="1" x14ac:dyDescent="0.25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1.25" customHeight="1" x14ac:dyDescent="0.25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1.25" customHeight="1" x14ac:dyDescent="0.25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1.25" customHeight="1" x14ac:dyDescent="0.25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1.25" customHeight="1" x14ac:dyDescent="0.25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1.25" customHeight="1" x14ac:dyDescent="0.25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1.25" customHeight="1" x14ac:dyDescent="0.2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1.25" customHeight="1" x14ac:dyDescent="0.25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1.25" customHeight="1" x14ac:dyDescent="0.25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1.25" customHeight="1" x14ac:dyDescent="0.25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1.25" customHeight="1" x14ac:dyDescent="0.25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1.25" customHeight="1" x14ac:dyDescent="0.25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1.25" customHeight="1" x14ac:dyDescent="0.25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1.25" customHeight="1" x14ac:dyDescent="0.25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1.25" customHeight="1" x14ac:dyDescent="0.25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1.25" customHeight="1" x14ac:dyDescent="0.25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1.25" customHeight="1" x14ac:dyDescent="0.2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1.25" customHeight="1" x14ac:dyDescent="0.25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1.25" customHeight="1" x14ac:dyDescent="0.25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1.25" customHeight="1" x14ac:dyDescent="0.25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1.25" customHeight="1" x14ac:dyDescent="0.25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1.25" customHeight="1" x14ac:dyDescent="0.25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1.25" customHeight="1" x14ac:dyDescent="0.25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1.25" customHeight="1" x14ac:dyDescent="0.25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1.25" customHeight="1" x14ac:dyDescent="0.25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1.25" customHeight="1" x14ac:dyDescent="0.25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1.25" customHeight="1" x14ac:dyDescent="0.2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1.25" customHeight="1" x14ac:dyDescent="0.25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1.25" customHeight="1" x14ac:dyDescent="0.25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1.25" customHeight="1" x14ac:dyDescent="0.25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1.25" customHeight="1" x14ac:dyDescent="0.25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1.25" customHeight="1" x14ac:dyDescent="0.25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1.25" customHeight="1" x14ac:dyDescent="0.25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1.25" customHeight="1" x14ac:dyDescent="0.25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1.25" customHeight="1" x14ac:dyDescent="0.25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1.25" customHeight="1" x14ac:dyDescent="0.25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1.25" customHeight="1" x14ac:dyDescent="0.2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1.25" customHeight="1" x14ac:dyDescent="0.25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1.25" customHeight="1" x14ac:dyDescent="0.25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1.25" customHeight="1" x14ac:dyDescent="0.25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1.25" customHeight="1" x14ac:dyDescent="0.25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1.25" customHeight="1" x14ac:dyDescent="0.25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1.25" customHeight="1" x14ac:dyDescent="0.25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1.25" customHeight="1" x14ac:dyDescent="0.25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1.25" customHeight="1" x14ac:dyDescent="0.25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1.25" customHeight="1" x14ac:dyDescent="0.25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1.25" customHeight="1" x14ac:dyDescent="0.2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1.25" customHeight="1" x14ac:dyDescent="0.25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1.25" customHeight="1" x14ac:dyDescent="0.25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1.25" customHeight="1" x14ac:dyDescent="0.25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1.25" customHeight="1" x14ac:dyDescent="0.25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1.25" customHeight="1" x14ac:dyDescent="0.25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1.25" customHeight="1" x14ac:dyDescent="0.25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1.25" customHeight="1" x14ac:dyDescent="0.25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1.25" customHeight="1" x14ac:dyDescent="0.25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1.25" customHeight="1" x14ac:dyDescent="0.25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1.25" customHeight="1" x14ac:dyDescent="0.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1.25" customHeight="1" x14ac:dyDescent="0.25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1.25" customHeight="1" x14ac:dyDescent="0.25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1.25" customHeight="1" x14ac:dyDescent="0.25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1.25" customHeight="1" x14ac:dyDescent="0.25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1.25" customHeight="1" x14ac:dyDescent="0.25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1.25" customHeight="1" x14ac:dyDescent="0.25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1.25" customHeight="1" x14ac:dyDescent="0.25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1.25" customHeight="1" x14ac:dyDescent="0.25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1.25" customHeight="1" x14ac:dyDescent="0.25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1.25" customHeight="1" x14ac:dyDescent="0.2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1.25" customHeight="1" x14ac:dyDescent="0.25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1.25" customHeight="1" x14ac:dyDescent="0.25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1.25" customHeight="1" x14ac:dyDescent="0.25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1.25" customHeight="1" x14ac:dyDescent="0.25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1.25" customHeight="1" x14ac:dyDescent="0.25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1.25" customHeight="1" x14ac:dyDescent="0.25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1.25" customHeight="1" x14ac:dyDescent="0.25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1.25" customHeight="1" x14ac:dyDescent="0.25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1.25" customHeight="1" x14ac:dyDescent="0.25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1.25" customHeight="1" x14ac:dyDescent="0.2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1.25" customHeight="1" x14ac:dyDescent="0.25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1.25" customHeight="1" x14ac:dyDescent="0.2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1.25" customHeight="1" x14ac:dyDescent="0.2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1.25" customHeight="1" x14ac:dyDescent="0.25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1.25" customHeight="1" x14ac:dyDescent="0.25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1.25" customHeight="1" x14ac:dyDescent="0.25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1.25" customHeight="1" x14ac:dyDescent="0.2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1.25" customHeight="1" x14ac:dyDescent="0.25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1.25" customHeight="1" x14ac:dyDescent="0.2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1.25" customHeight="1" x14ac:dyDescent="0.2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1.25" customHeight="1" x14ac:dyDescent="0.2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1.25" customHeight="1" x14ac:dyDescent="0.25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1.25" customHeight="1" x14ac:dyDescent="0.2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1.25" customHeight="1" x14ac:dyDescent="0.25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1.25" customHeight="1" x14ac:dyDescent="0.2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1.25" customHeight="1" x14ac:dyDescent="0.25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1.25" customHeight="1" x14ac:dyDescent="0.2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1.25" customHeight="1" x14ac:dyDescent="0.2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1.25" customHeight="1" x14ac:dyDescent="0.2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1.25" customHeight="1" x14ac:dyDescent="0.2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1.25" customHeight="1" x14ac:dyDescent="0.2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1.25" customHeight="1" x14ac:dyDescent="0.25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1.25" customHeight="1" x14ac:dyDescent="0.25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1.25" customHeight="1" x14ac:dyDescent="0.25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1.25" customHeight="1" x14ac:dyDescent="0.25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1.25" customHeight="1" x14ac:dyDescent="0.25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1.25" customHeight="1" x14ac:dyDescent="0.25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1.25" customHeight="1" x14ac:dyDescent="0.25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1.25" customHeight="1" x14ac:dyDescent="0.25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1.25" customHeight="1" x14ac:dyDescent="0.2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1.25" customHeight="1" x14ac:dyDescent="0.25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1.25" customHeight="1" x14ac:dyDescent="0.25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1.25" customHeight="1" x14ac:dyDescent="0.25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1.25" customHeight="1" x14ac:dyDescent="0.25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1.25" customHeight="1" x14ac:dyDescent="0.25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1.25" customHeight="1" x14ac:dyDescent="0.25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1.25" customHeight="1" x14ac:dyDescent="0.25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1.25" customHeight="1" x14ac:dyDescent="0.25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1.25" customHeight="1" x14ac:dyDescent="0.25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1.25" customHeight="1" x14ac:dyDescent="0.2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1.25" customHeight="1" x14ac:dyDescent="0.25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1.25" customHeight="1" x14ac:dyDescent="0.25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1.25" customHeight="1" x14ac:dyDescent="0.25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1.25" customHeight="1" x14ac:dyDescent="0.25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1.25" customHeight="1" x14ac:dyDescent="0.25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1.25" customHeight="1" x14ac:dyDescent="0.25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1.25" customHeight="1" x14ac:dyDescent="0.25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1.25" customHeight="1" x14ac:dyDescent="0.25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1.25" customHeight="1" x14ac:dyDescent="0.25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1.25" customHeight="1" x14ac:dyDescent="0.2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1.25" customHeight="1" x14ac:dyDescent="0.25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1.25" customHeight="1" x14ac:dyDescent="0.25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1.25" customHeight="1" x14ac:dyDescent="0.25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1.25" customHeight="1" x14ac:dyDescent="0.25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1.25" customHeight="1" x14ac:dyDescent="0.25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1.25" customHeight="1" x14ac:dyDescent="0.25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1.25" customHeight="1" x14ac:dyDescent="0.25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1.25" customHeight="1" x14ac:dyDescent="0.25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1.25" customHeight="1" x14ac:dyDescent="0.25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1.25" customHeight="1" x14ac:dyDescent="0.2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1.25" customHeight="1" x14ac:dyDescent="0.25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1.25" customHeight="1" x14ac:dyDescent="0.25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1.25" customHeight="1" x14ac:dyDescent="0.25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1.25" customHeight="1" x14ac:dyDescent="0.25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1.25" customHeight="1" x14ac:dyDescent="0.25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1.25" customHeight="1" x14ac:dyDescent="0.25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1.25" customHeight="1" x14ac:dyDescent="0.25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1.25" customHeight="1" x14ac:dyDescent="0.25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1.25" customHeight="1" x14ac:dyDescent="0.25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1.25" customHeight="1" x14ac:dyDescent="0.2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1.25" customHeight="1" x14ac:dyDescent="0.25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1.25" customHeight="1" x14ac:dyDescent="0.25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1.25" customHeight="1" x14ac:dyDescent="0.25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1.25" customHeight="1" x14ac:dyDescent="0.25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1.25" customHeight="1" x14ac:dyDescent="0.25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1.25" customHeight="1" x14ac:dyDescent="0.25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1.25" customHeight="1" x14ac:dyDescent="0.25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1.25" customHeight="1" x14ac:dyDescent="0.25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1.25" customHeight="1" x14ac:dyDescent="0.25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1.25" customHeight="1" x14ac:dyDescent="0.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1.25" customHeight="1" x14ac:dyDescent="0.25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1.25" customHeight="1" x14ac:dyDescent="0.25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1.25" customHeight="1" x14ac:dyDescent="0.25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1.25" customHeight="1" x14ac:dyDescent="0.25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1.25" customHeight="1" x14ac:dyDescent="0.25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1.25" customHeight="1" x14ac:dyDescent="0.25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1.25" customHeight="1" x14ac:dyDescent="0.25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1.25" customHeight="1" x14ac:dyDescent="0.25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1.25" customHeight="1" x14ac:dyDescent="0.25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1.25" customHeight="1" x14ac:dyDescent="0.2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1.25" customHeight="1" x14ac:dyDescent="0.25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1.25" customHeight="1" x14ac:dyDescent="0.25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1.25" customHeight="1" x14ac:dyDescent="0.25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1.25" customHeight="1" x14ac:dyDescent="0.25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1.25" customHeight="1" x14ac:dyDescent="0.25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1.25" customHeight="1" x14ac:dyDescent="0.25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1.25" customHeight="1" x14ac:dyDescent="0.25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1.25" customHeight="1" x14ac:dyDescent="0.25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1.25" customHeight="1" x14ac:dyDescent="0.25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1.25" customHeight="1" x14ac:dyDescent="0.2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1.25" customHeight="1" x14ac:dyDescent="0.25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1.25" customHeight="1" x14ac:dyDescent="0.25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1.25" customHeight="1" x14ac:dyDescent="0.25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1.25" customHeight="1" x14ac:dyDescent="0.25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1.25" customHeight="1" x14ac:dyDescent="0.25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1.25" customHeight="1" x14ac:dyDescent="0.25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1.25" customHeight="1" x14ac:dyDescent="0.25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1.25" customHeight="1" x14ac:dyDescent="0.25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1.25" customHeight="1" x14ac:dyDescent="0.25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1.25" customHeight="1" x14ac:dyDescent="0.2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1.25" customHeight="1" x14ac:dyDescent="0.25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1.25" customHeight="1" x14ac:dyDescent="0.25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1.25" customHeight="1" x14ac:dyDescent="0.25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1.25" customHeight="1" x14ac:dyDescent="0.25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1.25" customHeight="1" x14ac:dyDescent="0.25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1.25" customHeight="1" x14ac:dyDescent="0.25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1.25" customHeight="1" x14ac:dyDescent="0.25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1.25" customHeight="1" x14ac:dyDescent="0.25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1.25" customHeight="1" x14ac:dyDescent="0.25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1.25" customHeight="1" x14ac:dyDescent="0.2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1.25" customHeight="1" x14ac:dyDescent="0.25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1.25" customHeight="1" x14ac:dyDescent="0.25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1.25" customHeight="1" x14ac:dyDescent="0.25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1.25" customHeight="1" x14ac:dyDescent="0.25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1.25" customHeight="1" x14ac:dyDescent="0.25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1.25" customHeight="1" x14ac:dyDescent="0.25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1.25" customHeight="1" x14ac:dyDescent="0.25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1.25" customHeight="1" x14ac:dyDescent="0.25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1.25" customHeight="1" x14ac:dyDescent="0.25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1.25" customHeight="1" x14ac:dyDescent="0.2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1.25" customHeight="1" x14ac:dyDescent="0.25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1.25" customHeight="1" x14ac:dyDescent="0.25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1.25" customHeight="1" x14ac:dyDescent="0.25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1.25" customHeight="1" x14ac:dyDescent="0.25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1.25" customHeight="1" x14ac:dyDescent="0.25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1.25" customHeight="1" x14ac:dyDescent="0.25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1.25" customHeight="1" x14ac:dyDescent="0.25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1.25" customHeight="1" x14ac:dyDescent="0.25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1.25" customHeight="1" x14ac:dyDescent="0.25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1.25" customHeight="1" x14ac:dyDescent="0.2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1.25" customHeight="1" x14ac:dyDescent="0.25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1.25" customHeight="1" x14ac:dyDescent="0.25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1.25" customHeight="1" x14ac:dyDescent="0.25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1.25" customHeight="1" x14ac:dyDescent="0.25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1.25" customHeight="1" x14ac:dyDescent="0.25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1.25" customHeight="1" x14ac:dyDescent="0.25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1.25" customHeight="1" x14ac:dyDescent="0.25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1.25" customHeight="1" x14ac:dyDescent="0.25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1.25" customHeight="1" x14ac:dyDescent="0.25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1.25" customHeight="1" x14ac:dyDescent="0.2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1.25" customHeight="1" x14ac:dyDescent="0.25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1.25" customHeight="1" x14ac:dyDescent="0.25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1.25" customHeight="1" x14ac:dyDescent="0.25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1.25" customHeight="1" x14ac:dyDescent="0.25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1.25" customHeight="1" x14ac:dyDescent="0.25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1.25" customHeight="1" x14ac:dyDescent="0.25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1.25" customHeight="1" x14ac:dyDescent="0.25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1.25" customHeight="1" x14ac:dyDescent="0.25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1.25" customHeight="1" x14ac:dyDescent="0.25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1.25" customHeight="1" x14ac:dyDescent="0.2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1.25" customHeight="1" x14ac:dyDescent="0.25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1.25" customHeight="1" x14ac:dyDescent="0.25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1.25" customHeight="1" x14ac:dyDescent="0.25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1.25" customHeight="1" x14ac:dyDescent="0.25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1.25" customHeight="1" x14ac:dyDescent="0.25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1.25" customHeight="1" x14ac:dyDescent="0.25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1.25" customHeight="1" x14ac:dyDescent="0.25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1.25" customHeight="1" x14ac:dyDescent="0.25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1.25" customHeight="1" x14ac:dyDescent="0.25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1.25" customHeight="1" x14ac:dyDescent="0.2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1.25" customHeight="1" x14ac:dyDescent="0.25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1.25" customHeight="1" x14ac:dyDescent="0.25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1.25" customHeight="1" x14ac:dyDescent="0.25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1.25" customHeight="1" x14ac:dyDescent="0.25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1.25" customHeight="1" x14ac:dyDescent="0.25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1.25" customHeight="1" x14ac:dyDescent="0.25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1.25" customHeight="1" x14ac:dyDescent="0.25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1.25" customHeight="1" x14ac:dyDescent="0.25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1.25" customHeight="1" x14ac:dyDescent="0.25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1.25" customHeight="1" x14ac:dyDescent="0.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1.25" customHeight="1" x14ac:dyDescent="0.25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1.25" customHeight="1" x14ac:dyDescent="0.25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1.25" customHeight="1" x14ac:dyDescent="0.25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1.25" customHeight="1" x14ac:dyDescent="0.25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1.25" customHeight="1" x14ac:dyDescent="0.25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1.25" customHeight="1" x14ac:dyDescent="0.25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1.25" customHeight="1" x14ac:dyDescent="0.25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1.25" customHeight="1" x14ac:dyDescent="0.25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1.25" customHeight="1" x14ac:dyDescent="0.25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1.25" customHeight="1" x14ac:dyDescent="0.2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1.25" customHeight="1" x14ac:dyDescent="0.25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1.25" customHeight="1" x14ac:dyDescent="0.25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1.25" customHeight="1" x14ac:dyDescent="0.25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1.25" customHeight="1" x14ac:dyDescent="0.25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1.25" customHeight="1" x14ac:dyDescent="0.25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1.25" customHeight="1" x14ac:dyDescent="0.25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1.25" customHeight="1" x14ac:dyDescent="0.25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1.25" customHeight="1" x14ac:dyDescent="0.25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1.25" customHeight="1" x14ac:dyDescent="0.25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1.25" customHeight="1" x14ac:dyDescent="0.2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1.25" customHeight="1" x14ac:dyDescent="0.25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1.25" customHeight="1" x14ac:dyDescent="0.25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1.25" customHeight="1" x14ac:dyDescent="0.25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1.25" customHeight="1" x14ac:dyDescent="0.25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1.25" customHeight="1" x14ac:dyDescent="0.25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1.25" customHeight="1" x14ac:dyDescent="0.25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1.25" customHeight="1" x14ac:dyDescent="0.25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1.25" customHeight="1" x14ac:dyDescent="0.25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1.25" customHeight="1" x14ac:dyDescent="0.25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1.25" customHeight="1" x14ac:dyDescent="0.2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1.25" customHeight="1" x14ac:dyDescent="0.25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1.25" customHeight="1" x14ac:dyDescent="0.25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1.25" customHeight="1" x14ac:dyDescent="0.25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1.25" customHeight="1" x14ac:dyDescent="0.25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1.25" customHeight="1" x14ac:dyDescent="0.25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1.25" customHeight="1" x14ac:dyDescent="0.25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1.25" customHeight="1" x14ac:dyDescent="0.25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1.25" customHeight="1" x14ac:dyDescent="0.25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1.25" customHeight="1" x14ac:dyDescent="0.25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1.25" customHeight="1" x14ac:dyDescent="0.2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1.25" customHeight="1" x14ac:dyDescent="0.25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1.25" customHeight="1" x14ac:dyDescent="0.25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1.25" customHeight="1" x14ac:dyDescent="0.25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1.25" customHeight="1" x14ac:dyDescent="0.25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1.25" customHeight="1" x14ac:dyDescent="0.25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1.25" customHeight="1" x14ac:dyDescent="0.25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1.25" customHeight="1" x14ac:dyDescent="0.25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1.25" customHeight="1" x14ac:dyDescent="0.25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1.25" customHeight="1" x14ac:dyDescent="0.25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1.25" customHeight="1" x14ac:dyDescent="0.2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1.25" customHeight="1" x14ac:dyDescent="0.25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1.25" customHeight="1" x14ac:dyDescent="0.25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1.25" customHeight="1" x14ac:dyDescent="0.25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1.25" customHeight="1" x14ac:dyDescent="0.25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1.25" customHeight="1" x14ac:dyDescent="0.25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1.25" customHeight="1" x14ac:dyDescent="0.25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1.25" customHeight="1" x14ac:dyDescent="0.25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1.25" customHeight="1" x14ac:dyDescent="0.25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1.25" customHeight="1" x14ac:dyDescent="0.25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1.25" customHeight="1" x14ac:dyDescent="0.2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1.25" customHeight="1" x14ac:dyDescent="0.25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1.25" customHeight="1" x14ac:dyDescent="0.25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1.25" customHeight="1" x14ac:dyDescent="0.25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1.25" customHeight="1" x14ac:dyDescent="0.25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1.25" customHeight="1" x14ac:dyDescent="0.25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1.25" customHeight="1" x14ac:dyDescent="0.25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1.25" customHeight="1" x14ac:dyDescent="0.25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1.25" customHeight="1" x14ac:dyDescent="0.25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1.25" customHeight="1" x14ac:dyDescent="0.25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1.25" customHeight="1" x14ac:dyDescent="0.2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1.25" customHeight="1" x14ac:dyDescent="0.25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1.25" customHeight="1" x14ac:dyDescent="0.25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1.25" customHeight="1" x14ac:dyDescent="0.25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1.25" customHeight="1" x14ac:dyDescent="0.25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1.25" customHeight="1" x14ac:dyDescent="0.25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1.25" customHeight="1" x14ac:dyDescent="0.25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1.25" customHeight="1" x14ac:dyDescent="0.25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1.25" customHeight="1" x14ac:dyDescent="0.25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1.25" customHeight="1" x14ac:dyDescent="0.25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1.25" customHeight="1" x14ac:dyDescent="0.2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1.25" customHeight="1" x14ac:dyDescent="0.25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1.25" customHeight="1" x14ac:dyDescent="0.25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1.25" customHeight="1" x14ac:dyDescent="0.25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1.25" customHeight="1" x14ac:dyDescent="0.25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1.25" customHeight="1" x14ac:dyDescent="0.25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1.25" customHeight="1" x14ac:dyDescent="0.25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1.25" customHeight="1" x14ac:dyDescent="0.25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1.25" customHeight="1" x14ac:dyDescent="0.25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1.25" customHeight="1" x14ac:dyDescent="0.25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1.25" customHeight="1" x14ac:dyDescent="0.2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1.25" customHeight="1" x14ac:dyDescent="0.25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1.25" customHeight="1" x14ac:dyDescent="0.25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1.25" customHeight="1" x14ac:dyDescent="0.25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1.25" customHeight="1" x14ac:dyDescent="0.25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1.25" customHeight="1" x14ac:dyDescent="0.25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1.25" customHeight="1" x14ac:dyDescent="0.25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1.25" customHeight="1" x14ac:dyDescent="0.25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1.25" customHeight="1" x14ac:dyDescent="0.25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1.25" customHeight="1" x14ac:dyDescent="0.25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1.25" customHeight="1" x14ac:dyDescent="0.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1.25" customHeight="1" x14ac:dyDescent="0.25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1.25" customHeight="1" x14ac:dyDescent="0.25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1.25" customHeight="1" x14ac:dyDescent="0.25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1.25" customHeight="1" x14ac:dyDescent="0.25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1.25" customHeight="1" x14ac:dyDescent="0.25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1.25" customHeight="1" x14ac:dyDescent="0.25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1.25" customHeight="1" x14ac:dyDescent="0.25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1.25" customHeight="1" x14ac:dyDescent="0.25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1.25" customHeight="1" x14ac:dyDescent="0.25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1.25" customHeight="1" x14ac:dyDescent="0.2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1.25" customHeight="1" x14ac:dyDescent="0.25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1.25" customHeight="1" x14ac:dyDescent="0.25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1.25" customHeight="1" x14ac:dyDescent="0.25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1.25" customHeight="1" x14ac:dyDescent="0.25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1.25" customHeight="1" x14ac:dyDescent="0.25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1.25" customHeight="1" x14ac:dyDescent="0.25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1.25" customHeight="1" x14ac:dyDescent="0.25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1.25" customHeight="1" x14ac:dyDescent="0.25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1.25" customHeight="1" x14ac:dyDescent="0.25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1.25" customHeight="1" x14ac:dyDescent="0.2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1.25" customHeight="1" x14ac:dyDescent="0.25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1.25" customHeight="1" x14ac:dyDescent="0.25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1.25" customHeight="1" x14ac:dyDescent="0.25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1.25" customHeight="1" x14ac:dyDescent="0.25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1.25" customHeight="1" x14ac:dyDescent="0.25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1.25" customHeight="1" x14ac:dyDescent="0.25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1.25" customHeight="1" x14ac:dyDescent="0.25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1.25" customHeight="1" x14ac:dyDescent="0.25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1.25" customHeight="1" x14ac:dyDescent="0.25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1.25" customHeight="1" x14ac:dyDescent="0.2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1.25" customHeight="1" x14ac:dyDescent="0.25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1.25" customHeight="1" x14ac:dyDescent="0.25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1.25" customHeight="1" x14ac:dyDescent="0.25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1.25" customHeight="1" x14ac:dyDescent="0.25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1.25" customHeight="1" x14ac:dyDescent="0.25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1.25" customHeight="1" x14ac:dyDescent="0.25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1.25" customHeight="1" x14ac:dyDescent="0.25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1.25" customHeight="1" x14ac:dyDescent="0.25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1.25" customHeight="1" x14ac:dyDescent="0.25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1.25" customHeight="1" x14ac:dyDescent="0.2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1.25" customHeight="1" x14ac:dyDescent="0.25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1.25" customHeight="1" x14ac:dyDescent="0.25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1.25" customHeight="1" x14ac:dyDescent="0.25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1.25" customHeight="1" x14ac:dyDescent="0.25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1.25" customHeight="1" x14ac:dyDescent="0.25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1.25" customHeight="1" x14ac:dyDescent="0.25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1.25" customHeight="1" x14ac:dyDescent="0.25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1.25" customHeight="1" x14ac:dyDescent="0.25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1.25" customHeight="1" x14ac:dyDescent="0.25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1.25" customHeight="1" x14ac:dyDescent="0.2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1.25" customHeight="1" x14ac:dyDescent="0.25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1.25" customHeight="1" x14ac:dyDescent="0.25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1.25" customHeight="1" x14ac:dyDescent="0.25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1.25" customHeight="1" x14ac:dyDescent="0.25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1.25" customHeight="1" x14ac:dyDescent="0.25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1.25" customHeight="1" x14ac:dyDescent="0.25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1.25" customHeight="1" x14ac:dyDescent="0.25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1.25" customHeight="1" x14ac:dyDescent="0.25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1.25" customHeight="1" x14ac:dyDescent="0.25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1.25" customHeight="1" x14ac:dyDescent="0.2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1.25" customHeight="1" x14ac:dyDescent="0.25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1.25" customHeight="1" x14ac:dyDescent="0.25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1.25" customHeight="1" x14ac:dyDescent="0.25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1.25" customHeight="1" x14ac:dyDescent="0.25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1.25" customHeight="1" x14ac:dyDescent="0.25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1.25" customHeight="1" x14ac:dyDescent="0.25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1.25" customHeight="1" x14ac:dyDescent="0.25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1.25" customHeight="1" x14ac:dyDescent="0.25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1.25" customHeight="1" x14ac:dyDescent="0.25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1.25" customHeight="1" x14ac:dyDescent="0.2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1.25" customHeight="1" x14ac:dyDescent="0.25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1.25" customHeight="1" x14ac:dyDescent="0.25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1.25" customHeight="1" x14ac:dyDescent="0.25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1.25" customHeight="1" x14ac:dyDescent="0.25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</sheetData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Schedules</vt:lpstr>
      <vt:lpstr>Income Statement</vt:lpstr>
      <vt:lpstr>Balance Sheet</vt:lpstr>
      <vt:lpstr>Cash Flow Statement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Ludwig Jean Sebastian  Niño Calderon</dc:creator>
  <cp:keywords/>
  <dc:description/>
  <cp:lastModifiedBy>Jean Sebastián Niño</cp:lastModifiedBy>
  <cp:revision/>
  <dcterms:created xsi:type="dcterms:W3CDTF">2026-05-14T22:21:28Z</dcterms:created>
  <dcterms:modified xsi:type="dcterms:W3CDTF">2026-09-28T19:57:39Z</dcterms:modified>
  <cp:category/>
  <cp:contentStatus/>
</cp:coreProperties>
</file>